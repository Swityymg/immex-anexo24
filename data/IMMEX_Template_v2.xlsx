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da\Downloads\"/>
    </mc:Choice>
  </mc:AlternateContent>
  <xr:revisionPtr revIDLastSave="0" documentId="11_CADCE621D1470A80A3AF8D8F1DE176660163EEB5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LEEME" sheetId="1" r:id="rId1"/>
    <sheet name="Parametros" sheetId="2" r:id="rId2"/>
    <sheet name="Catalogos" sheetId="3" r:id="rId3"/>
    <sheet name="Entradas" sheetId="4" r:id="rId4"/>
    <sheet name="Consumo" sheetId="5" r:id="rId5"/>
    <sheet name="Salidas" sheetId="6" r:id="rId6"/>
    <sheet name="Tablero" sheetId="7" r:id="rId7"/>
    <sheet name="Reportes" sheetId="8" r:id="rId8"/>
    <sheet name="Modelo_Dato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0" i="9" l="1"/>
  <c r="A39" i="9"/>
  <c r="A38" i="9"/>
  <c r="A37" i="9"/>
  <c r="A36" i="9"/>
  <c r="A35" i="9"/>
  <c r="A34" i="9"/>
  <c r="A33" i="9"/>
  <c r="A32" i="9"/>
  <c r="A31" i="9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B36" i="8"/>
  <c r="A36" i="8"/>
  <c r="B35" i="8"/>
  <c r="A35" i="8"/>
  <c r="B34" i="8"/>
  <c r="A34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26" i="8"/>
  <c r="E26" i="8"/>
  <c r="D26" i="8"/>
  <c r="C26" i="8"/>
  <c r="B26" i="8"/>
  <c r="A26" i="8"/>
  <c r="F25" i="8"/>
  <c r="E25" i="8"/>
  <c r="D25" i="8"/>
  <c r="C25" i="8"/>
  <c r="B25" i="8"/>
  <c r="A25" i="8"/>
  <c r="F24" i="8"/>
  <c r="F30" i="8" s="1"/>
  <c r="E24" i="8"/>
  <c r="D24" i="8"/>
  <c r="C24" i="8"/>
  <c r="B24" i="8"/>
  <c r="A24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C17" i="8"/>
  <c r="B17" i="8"/>
  <c r="A17" i="8"/>
  <c r="F16" i="8"/>
  <c r="E16" i="8"/>
  <c r="C16" i="8"/>
  <c r="B16" i="8"/>
  <c r="A16" i="8"/>
  <c r="F15" i="8"/>
  <c r="E15" i="8"/>
  <c r="C15" i="8"/>
  <c r="B15" i="8"/>
  <c r="A15" i="8"/>
  <c r="F14" i="8"/>
  <c r="E14" i="8"/>
  <c r="C14" i="8"/>
  <c r="B14" i="8"/>
  <c r="A14" i="8"/>
  <c r="F13" i="8"/>
  <c r="E13" i="8"/>
  <c r="C13" i="8"/>
  <c r="B13" i="8"/>
  <c r="A13" i="8"/>
  <c r="F12" i="8"/>
  <c r="E12" i="8"/>
  <c r="C12" i="8"/>
  <c r="B12" i="8"/>
  <c r="A12" i="8"/>
  <c r="F11" i="8"/>
  <c r="E11" i="8"/>
  <c r="C11" i="8"/>
  <c r="B11" i="8"/>
  <c r="A11" i="8"/>
  <c r="F10" i="8"/>
  <c r="F20" i="8" s="1"/>
  <c r="E10" i="8"/>
  <c r="C10" i="8"/>
  <c r="B10" i="8"/>
  <c r="A10" i="8"/>
  <c r="F9" i="8"/>
  <c r="E9" i="8"/>
  <c r="C9" i="8"/>
  <c r="B9" i="8"/>
  <c r="A9" i="8"/>
  <c r="F8" i="8"/>
  <c r="E8" i="8"/>
  <c r="C8" i="8"/>
  <c r="B8" i="8"/>
  <c r="A8" i="8"/>
  <c r="B4" i="8"/>
  <c r="A3" i="8"/>
  <c r="A2" i="8"/>
  <c r="F28" i="7"/>
  <c r="E28" i="7"/>
  <c r="E25" i="7"/>
  <c r="A25" i="7"/>
  <c r="E24" i="7"/>
  <c r="A24" i="7"/>
  <c r="E23" i="7"/>
  <c r="A23" i="7"/>
  <c r="A19" i="7"/>
  <c r="A18" i="7"/>
  <c r="B18" i="7" s="1"/>
  <c r="A17" i="7"/>
  <c r="A13" i="7"/>
  <c r="A12" i="7"/>
  <c r="A11" i="7"/>
  <c r="A10" i="7"/>
  <c r="D2" i="7"/>
  <c r="A2" i="7"/>
  <c r="G21" i="5"/>
  <c r="J21" i="5" s="1"/>
  <c r="E21" i="5"/>
  <c r="D21" i="5"/>
  <c r="F21" i="5" s="1"/>
  <c r="C21" i="5"/>
  <c r="B21" i="5"/>
  <c r="A21" i="5"/>
  <c r="J20" i="5"/>
  <c r="G20" i="5"/>
  <c r="E20" i="5"/>
  <c r="D20" i="5"/>
  <c r="F20" i="5" s="1"/>
  <c r="C20" i="5"/>
  <c r="B20" i="5"/>
  <c r="A20" i="5"/>
  <c r="G19" i="5"/>
  <c r="J19" i="5" s="1"/>
  <c r="E19" i="5"/>
  <c r="D19" i="5"/>
  <c r="F19" i="5" s="1"/>
  <c r="C19" i="5"/>
  <c r="B19" i="5"/>
  <c r="A19" i="5"/>
  <c r="G18" i="5"/>
  <c r="J18" i="5" s="1"/>
  <c r="E18" i="5"/>
  <c r="D18" i="5"/>
  <c r="F18" i="5" s="1"/>
  <c r="C18" i="5"/>
  <c r="B18" i="5"/>
  <c r="A18" i="5"/>
  <c r="G17" i="5"/>
  <c r="J17" i="5" s="1"/>
  <c r="E17" i="5"/>
  <c r="D17" i="5"/>
  <c r="F17" i="5" s="1"/>
  <c r="C17" i="5"/>
  <c r="B17" i="5"/>
  <c r="A17" i="5"/>
  <c r="G16" i="5"/>
  <c r="J16" i="5" s="1"/>
  <c r="E16" i="5"/>
  <c r="D16" i="5"/>
  <c r="F16" i="5" s="1"/>
  <c r="C16" i="5"/>
  <c r="B16" i="5"/>
  <c r="A16" i="5"/>
  <c r="G15" i="5"/>
  <c r="J15" i="5" s="1"/>
  <c r="E15" i="5"/>
  <c r="D15" i="5"/>
  <c r="F15" i="5" s="1"/>
  <c r="C15" i="5"/>
  <c r="B15" i="5"/>
  <c r="A15" i="5"/>
  <c r="G14" i="5"/>
  <c r="J14" i="5" s="1"/>
  <c r="E14" i="5"/>
  <c r="D14" i="5"/>
  <c r="F14" i="5" s="1"/>
  <c r="C14" i="5"/>
  <c r="B14" i="5"/>
  <c r="A14" i="5"/>
  <c r="K14" i="4"/>
  <c r="L14" i="4" s="1"/>
  <c r="F14" i="4"/>
  <c r="D17" i="8" s="1"/>
  <c r="E14" i="4"/>
  <c r="K13" i="4"/>
  <c r="L13" i="4" s="1"/>
  <c r="F13" i="4"/>
  <c r="D16" i="8" s="1"/>
  <c r="E13" i="4"/>
  <c r="K12" i="4"/>
  <c r="L12" i="4" s="1"/>
  <c r="F12" i="4"/>
  <c r="D15" i="8" s="1"/>
  <c r="E12" i="4"/>
  <c r="K11" i="4"/>
  <c r="L11" i="4" s="1"/>
  <c r="F11" i="4"/>
  <c r="D14" i="8" s="1"/>
  <c r="E11" i="4"/>
  <c r="K10" i="4"/>
  <c r="L10" i="4" s="1"/>
  <c r="F10" i="4"/>
  <c r="D13" i="8" s="1"/>
  <c r="E10" i="4"/>
  <c r="K9" i="4"/>
  <c r="L9" i="4" s="1"/>
  <c r="F9" i="4"/>
  <c r="D12" i="8" s="1"/>
  <c r="E9" i="4"/>
  <c r="K8" i="4"/>
  <c r="L8" i="4" s="1"/>
  <c r="F8" i="4"/>
  <c r="D11" i="8" s="1"/>
  <c r="E8" i="4"/>
  <c r="K7" i="4"/>
  <c r="L7" i="4" s="1"/>
  <c r="F7" i="4"/>
  <c r="D10" i="8" s="1"/>
  <c r="E7" i="4"/>
  <c r="K6" i="4"/>
  <c r="L6" i="4" s="1"/>
  <c r="F6" i="4"/>
  <c r="D9" i="8" s="1"/>
  <c r="E6" i="4"/>
  <c r="K5" i="4"/>
  <c r="L5" i="4" s="1"/>
  <c r="F5" i="4"/>
  <c r="E5" i="4"/>
  <c r="C36" i="8" l="1"/>
  <c r="C34" i="8"/>
  <c r="B25" i="7"/>
  <c r="C24" i="7"/>
  <c r="B24" i="7"/>
  <c r="D24" i="7" s="1"/>
  <c r="F24" i="7" s="1"/>
  <c r="C23" i="7"/>
  <c r="B23" i="7"/>
  <c r="D23" i="7" s="1"/>
  <c r="F23" i="7" s="1"/>
  <c r="C19" i="7"/>
  <c r="B19" i="7"/>
  <c r="C17" i="7"/>
  <c r="B17" i="7"/>
  <c r="H21" i="5"/>
  <c r="I21" i="5"/>
  <c r="B48" i="8"/>
  <c r="D48" i="8"/>
  <c r="E48" i="8"/>
  <c r="F48" i="8"/>
  <c r="A48" i="8"/>
  <c r="C48" i="8"/>
  <c r="G48" i="8"/>
  <c r="H20" i="5"/>
  <c r="F47" i="8" s="1"/>
  <c r="I20" i="5"/>
  <c r="G47" i="8" s="1"/>
  <c r="E47" i="8"/>
  <c r="H19" i="5"/>
  <c r="F46" i="8" s="1"/>
  <c r="I19" i="5"/>
  <c r="G46" i="8" s="1"/>
  <c r="E46" i="8"/>
  <c r="H18" i="5"/>
  <c r="F45" i="8" s="1"/>
  <c r="I18" i="5"/>
  <c r="G45" i="8" s="1"/>
  <c r="E45" i="8"/>
  <c r="H17" i="5"/>
  <c r="I17" i="5"/>
  <c r="G44" i="8" s="1"/>
  <c r="E44" i="8"/>
  <c r="H16" i="5"/>
  <c r="F43" i="8" s="1"/>
  <c r="I16" i="5"/>
  <c r="E43" i="8"/>
  <c r="H15" i="5"/>
  <c r="F42" i="8" s="1"/>
  <c r="I15" i="5"/>
  <c r="E42" i="8"/>
  <c r="H14" i="5"/>
  <c r="F41" i="8" s="1"/>
  <c r="I14" i="5"/>
  <c r="E41" i="8"/>
  <c r="B9" i="7"/>
  <c r="D9" i="7"/>
  <c r="C9" i="7"/>
  <c r="D8" i="8"/>
  <c r="C35" i="8"/>
  <c r="C37" i="8" l="1"/>
  <c r="C18" i="7"/>
  <c r="G43" i="8"/>
  <c r="I11" i="4"/>
  <c r="I9" i="4"/>
  <c r="I10" i="4"/>
  <c r="G42" i="8"/>
  <c r="I12" i="4"/>
  <c r="I13" i="4"/>
  <c r="I14" i="4"/>
  <c r="I5" i="4"/>
  <c r="G41" i="8"/>
  <c r="G49" i="8" s="1"/>
  <c r="I6" i="4"/>
  <c r="I7" i="4"/>
  <c r="I8" i="4"/>
  <c r="E49" i="8"/>
  <c r="F44" i="8"/>
  <c r="F49" i="8" s="1"/>
  <c r="C25" i="7"/>
  <c r="D25" i="7" s="1"/>
  <c r="F25" i="7" s="1"/>
  <c r="C37" i="9" l="1"/>
  <c r="D37" i="9" s="1"/>
  <c r="J11" i="4"/>
  <c r="D35" i="8"/>
  <c r="E35" i="8" s="1"/>
  <c r="J9" i="4"/>
  <c r="D18" i="7"/>
  <c r="C35" i="9"/>
  <c r="D35" i="9" s="1"/>
  <c r="J10" i="4"/>
  <c r="C36" i="9"/>
  <c r="D36" i="9" s="1"/>
  <c r="D19" i="7"/>
  <c r="D36" i="8"/>
  <c r="E36" i="8" s="1"/>
  <c r="J12" i="4"/>
  <c r="C38" i="9"/>
  <c r="D38" i="9" s="1"/>
  <c r="J13" i="4"/>
  <c r="C39" i="9"/>
  <c r="D39" i="9" s="1"/>
  <c r="J14" i="4"/>
  <c r="C40" i="9"/>
  <c r="D40" i="9" s="1"/>
  <c r="D34" i="8"/>
  <c r="D17" i="7"/>
  <c r="C31" i="9"/>
  <c r="D31" i="9" s="1"/>
  <c r="J5" i="4"/>
  <c r="J6" i="4"/>
  <c r="C32" i="9"/>
  <c r="D32" i="9" s="1"/>
  <c r="J7" i="4"/>
  <c r="C33" i="9"/>
  <c r="D33" i="9" s="1"/>
  <c r="J8" i="4"/>
  <c r="C34" i="9"/>
  <c r="D34" i="9" s="1"/>
  <c r="M11" i="4" l="1"/>
  <c r="N11" i="4"/>
  <c r="C10" i="7"/>
  <c r="D10" i="7"/>
  <c r="B10" i="7"/>
  <c r="M9" i="4"/>
  <c r="N9" i="4"/>
  <c r="F18" i="7"/>
  <c r="G18" i="7" s="1"/>
  <c r="E18" i="7"/>
  <c r="M10" i="4"/>
  <c r="N10" i="4"/>
  <c r="F19" i="7"/>
  <c r="G19" i="7" s="1"/>
  <c r="E19" i="7"/>
  <c r="M12" i="4"/>
  <c r="N12" i="4"/>
  <c r="M13" i="4"/>
  <c r="N13" i="4"/>
  <c r="M14" i="4"/>
  <c r="N14" i="4"/>
  <c r="E34" i="8"/>
  <c r="E37" i="8" s="1"/>
  <c r="D37" i="8"/>
  <c r="F17" i="7"/>
  <c r="E17" i="7"/>
  <c r="E5" i="7"/>
  <c r="D11" i="7"/>
  <c r="B11" i="7"/>
  <c r="C11" i="7"/>
  <c r="N5" i="4"/>
  <c r="M5" i="4"/>
  <c r="D12" i="7"/>
  <c r="B12" i="7"/>
  <c r="C12" i="7"/>
  <c r="M6" i="4"/>
  <c r="N6" i="4"/>
  <c r="C5" i="7" s="1"/>
  <c r="B13" i="7"/>
  <c r="D13" i="7"/>
  <c r="C13" i="7"/>
  <c r="M7" i="4"/>
  <c r="N7" i="4"/>
  <c r="M8" i="4"/>
  <c r="N8" i="4"/>
  <c r="G5" i="7" l="1"/>
  <c r="G17" i="7"/>
  <c r="B14" i="7"/>
  <c r="A5" i="7"/>
  <c r="C14" i="7"/>
  <c r="D14" i="7"/>
</calcChain>
</file>

<file path=xl/sharedStrings.xml><?xml version="1.0" encoding="utf-8"?>
<sst xmlns="http://schemas.openxmlformats.org/spreadsheetml/2006/main" count="384" uniqueCount="272">
  <si>
    <t>Control de inventarios IMMEX — Anexo 24: representación en Excel para el desarrollo del sistema</t>
  </si>
  <si>
    <t>Empresa, pedimentos, precios y cantidades son ficticios. Los plazos, la multa y la estructura de reportes sí vienen de normas (ver fuentes abajo). Orden sugerido de lectura: este LEEME → Parametros → Catalogos → Entradas (la cédula) → Consumo → Salidas → Tablero → Reportes → Modelo_Datos.</t>
  </si>
  <si>
    <t>CÓMO FUNCIONA LA CÉDULA DE INVENTARIO</t>
  </si>
  <si>
    <t>1. Cada pedimento de importación temporal de un material es un lote (un renglón en la hoja Entradas). Al entrar, empieza a correr su reloj legal: fecha de entrada + plazo (18 meses para insumos).</t>
  </si>
  <si>
    <t>2. La producción del mes, multiplicada por la lista de materiales (BOM) y aumentada por la merma, da el consumo real de cada material (hoja Consumo).</t>
  </si>
  <si>
    <t>3. Lo que debe descargarse de un material = consumo real + sus salidas (retornos, destrucciones, cambios de régimen).</t>
  </si>
  <si>
    <t>4. Descarga PEPS: se descarga del pedimento más antiguo; si no alcanza, lo que falta se descarga del siguiente en orden cronológico. Saldo del lote = importado − descargado.</t>
  </si>
  <si>
    <t>5. Cada lote con saldo muestra su vencimiento, días restantes, alerta (90/60/30) y su valor en pesos (saldo × valor unitario × tipo de cambio). Eso es el riesgo.</t>
  </si>
  <si>
    <t>6. Conciliación: si lo que debe descargarse supera lo importado de un material, hay un FALTANTE. Es una excepción que alguien debe explicar (error de captura, pedimento sin registrar, retorno de más).</t>
  </si>
  <si>
    <t>7. Los cuatro reportes del apartado A del Anexo 24 se arman a partir de estas hojas (hoja Reportes), con razón social y RFC en el encabezado.</t>
  </si>
  <si>
    <t>FUENTES LEGALES (qué se verificó y qué no)</t>
  </si>
  <si>
    <t>Fuente</t>
  </si>
  <si>
    <t>Qué establece</t>
  </si>
  <si>
    <t>Dónde se usa en este Excel</t>
  </si>
  <si>
    <t>Verificación</t>
  </si>
  <si>
    <t>Ley Aduanera, art. 108 (última reforma DOF 19-11-2025)</t>
  </si>
  <si>
    <t>Plazos de permanencia de la importación temporal de maquiladoras / IMMEX: hasta 18 meses para lubricantes y materiales que se consumen en el proceso, materias primas, partes y componentes que se integran totalmente a la exportación, envases y empaques, etiquetas y folletos; hasta 2 años para contenedores y cajas de trailers; por la vigencia del programa para maquinaria, equipo, herramientas, moldes, refacciones y demás activos. Si no se retornan o cambian de régimen en el plazo, se entienden ilegalmente en el país. Al notificarse la cancelación de un programa hay 60 días naturales para cambiar a importación definitiva o retornar.</t>
  </si>
  <si>
    <t>Catalogos (plazo_meses, fundamento), reloj legal en Entradas, Parametros (60 días).</t>
  </si>
  <si>
    <t>Texto oficial (captura de la Cámara de Diputados proporcionada por el usuario).</t>
  </si>
  <si>
    <t>Ley Aduanera, art. 185-B</t>
  </si>
  <si>
    <t>Multa de $27,070 a $54,180 MXN a quien cometa la infracción de no llevar los sistemas de control de inventarios del art. 185-A. El monto se actualiza cada año.</t>
  </si>
  <si>
    <t>Parametros (multa mín/máx), Tablero (referencia).</t>
  </si>
  <si>
    <t>Texto oficial (captura de la Cámara de Diputados). Confirmar monto vigente cada año.</t>
  </si>
  <si>
    <t>Anexo 24 de las RGCE para 2026 (DOF 15-01-2026)</t>
  </si>
  <si>
    <t>Información mínima del sistema automatizado de control de inventarios. Apartado A (regla 4.3.1): catálogos, módulo de aduanas, reportes, descarga PEPS. Apartado B: SECIIT (interfaces con sistema corporativo, conciliación, 24 horas). Apartado C: empresas certificadas (actualización en 48 horas, acceso en línea a la autoridad).</t>
  </si>
  <si>
    <t>Estructura de hojas, reportes, PEPS, razón social y RFC en reportes.</t>
  </si>
  <si>
    <t>Texto oficial (PDF proporcionado). Este Excel cubre el apartado A; B y C son la siguiente etapa.</t>
  </si>
  <si>
    <t>Decreto IMMEX y guía de la Secretaría de Economía (documento proporcionado, sin fecha)</t>
  </si>
  <si>
    <t>El titular del programa debe llevar un control de inventarios automatizado con la información mínima del Anexo IV del Decreto IMMEX (hoy desarrollada en el Anexo 24 de las RGCE). Informes a la SE (p. ej. reporte anual y reportes para mercancías sensibles) piden volumen y % de mermas y desperdicios.</t>
  </si>
  <si>
    <t>Fundamento general de la obligación; merma como dato a registrar.</t>
  </si>
  <si>
    <t>Guía secundaria. Revisar el Decreto vigente en el DOF antes de citarlo.</t>
  </si>
  <si>
    <t>MERMA: no existe porcentaje máximo en las fuentes revisadas</t>
  </si>
  <si>
    <t>Ni el art. 108, ni el art. 185-B, ni el Anexo 24 fijan un % máximo de merma. El Anexo 24 solo exige registrar mermas y desperdicios y descargar el desperdicio por PEPS al destruirlo, donarlo, transferirlo, retornarlo o cambiarlo de régimen. Destruir desperdicio requiere aviso previo (fuentes secundarias citan RGCE regla 4.3.5, ficha 102/LA y art. 109 de la LA, con 30 días hábiles de anticipación) y acta de hechos.</t>
  </si>
  <si>
    <t>Parametros (tolerancia 3% = supuesto interno), Consumo (columna Revisión), Salidas (destrucciones).</t>
  </si>
  <si>
    <t>Aviso de destrucción: fuente secundaria. Verificar en las RGCE 2026 y la ficha 102/LA.</t>
  </si>
  <si>
    <t>Alertas a 90 / 60 / 30 días</t>
  </si>
  <si>
    <t>Vienen del planteamiento del reto, no de una norma.</t>
  </si>
  <si>
    <t>Parametros, columna Alerta en Entradas, ventanas del Tablero.</t>
  </si>
  <si>
    <t>—</t>
  </si>
  <si>
    <t>EXCEPCIONES PLANTADAS A PROPÓSITO (fecha de corte 20/10/2026)</t>
  </si>
  <si>
    <t>• Resina ABS: el pedimento más antiguo vence en 16 días y aún tiene 827 kg de saldo (alerta 30).</t>
  </si>
  <si>
    <t>• Polipropileno: un pedimento vence en 40 días con 557 kg de saldo (alerta 60) y otro, con 15,000 kg íntegros, en 80 días (alerta 90).</t>
  </si>
  <si>
    <t>• Carcasa PT-002 en septiembre: merma de 5.8% contra la tolerancia interna de 3%.</t>
  </si>
  <si>
    <t>• Masterbatch: se retornaron 2,500 kg y solo se importaron 2,900; consumo más salidas exceden lo importado por 332.8 kg (faltante).</t>
  </si>
  <si>
    <t>LIMITACIONES</t>
  </si>
  <si>
    <t>• Solo se modelan insumos con plazo de 18 meses. Activo fijo (vigencia del programa) y contenedores (2 años) quedan fuera, y no se modelan las contribuciones e infracciones por mercancía vencida.</t>
  </si>
  <si>
    <t>• Fracciones arancelarias y claves de pedimento son ilustrativas. Tipo de cambio (18.50) y tolerancia de merma (3%) son supuestos editables.</t>
  </si>
  <si>
    <t>• No se valida que un consumo sea posterior a la fecha de entrada del pedimento que descarga. Los rangos de fórmulas cubren hasta la fila 40 de cada hoja.</t>
  </si>
  <si>
    <t>• Esto es una representación contable-operativa de apoyo; no sustituye la opinión de un especialista aduanal ni la revisión del texto legal vigente.</t>
  </si>
  <si>
    <t>Parámetros</t>
  </si>
  <si>
    <t>Azul con fondo amarillo = editable. Columna C: LEY = viene de una norma; RETO = viene del planteamiento del reto; SUPUESTO = valor de este ejercicio, no es norma.</t>
  </si>
  <si>
    <t>Parámetro</t>
  </si>
  <si>
    <t>Valor</t>
  </si>
  <si>
    <t>Tipo</t>
  </si>
  <si>
    <t>Fundamento / nota</t>
  </si>
  <si>
    <t>Razón social</t>
  </si>
  <si>
    <t>Plásticos Ejemplo, S.A. de C.V.</t>
  </si>
  <si>
    <t>SUPUESTO</t>
  </si>
  <si>
    <t>Empresa ficticia.</t>
  </si>
  <si>
    <t>RFC</t>
  </si>
  <si>
    <t>PEJ210101AB1</t>
  </si>
  <si>
    <t>Ficticio. Anexo 24 apdo. A, fr. I inc. a): razón social y RFC deben aparecer en todos los reportes.</t>
  </si>
  <si>
    <t>Programa IMMEX (No. SE)</t>
  </si>
  <si>
    <t>0000-2024</t>
  </si>
  <si>
    <t>Ficticio.</t>
  </si>
  <si>
    <t>Domicilio fiscal / planta</t>
  </si>
  <si>
    <t>Parque Industrial Ejemplo, Nave 4, C.P. 00000, Monterrey, N.L.</t>
  </si>
  <si>
    <t>Ficticio. El Anexo 24 pide domicilio fiscal y de plantas/bodegas.</t>
  </si>
  <si>
    <t>Fecha de corte</t>
  </si>
  <si>
    <t>Fecha contra la que corre el reloj legal. Cámbiela para simular otros días.</t>
  </si>
  <si>
    <t>Tipo de cambio MXN por USD</t>
  </si>
  <si>
    <t>Para valuar el riesgo en pesos. Actualizar al tipo de cambio que corresponda.</t>
  </si>
  <si>
    <t>Tolerancia de merma (alerta interna)</t>
  </si>
  <si>
    <t>Ninguna fuente revisada fija un % máximo de merma (ver LEEME). Es un umbral interno para marcar excepciones.</t>
  </si>
  <si>
    <t>Alerta temprana (días)</t>
  </si>
  <si>
    <t>RETO</t>
  </si>
  <si>
    <t>Planteamiento del reto: alertas a 90, 60 y 30 días antes del vencimiento. No es un plazo legal.</t>
  </si>
  <si>
    <t>Alerta intermedia (días)</t>
  </si>
  <si>
    <t>Ídem.</t>
  </si>
  <si>
    <t>Alerta crítica (días)</t>
  </si>
  <si>
    <t>Multa mínima por no llevar control de inventarios (MXN)</t>
  </si>
  <si>
    <t>LEY</t>
  </si>
  <si>
    <t>Ley Aduanera art. 185-B (texto oficial, últ. reforma DOF 19-11-2025).</t>
  </si>
  <si>
    <t>Multa máxima (MXN)</t>
  </si>
  <si>
    <t>Ídem. Se aplica a quien incumpla la obligación de llevar sistemas de control de inventarios (art. 185-A). Monto actualizado cada año.</t>
  </si>
  <si>
    <t>Plazo para cambiar de régimen tras cancelación del programa (días naturales)</t>
  </si>
  <si>
    <t>Ley Aduanera art. 108, párrafo adicionado DOF 19-11-2025: desde que se notifica la cancelación.</t>
  </si>
  <si>
    <t>Catálogos (Anexo 24, apdo. A, fr. I: materiales y productos; más la lista de materiales o BOM)</t>
  </si>
  <si>
    <t>Materiales</t>
  </si>
  <si>
    <t>Lista de materiales (BOM): kg de material por pieza</t>
  </si>
  <si>
    <t>Clave</t>
  </si>
  <si>
    <t>Descripción comercial</t>
  </si>
  <si>
    <t>Fracción arancelaria</t>
  </si>
  <si>
    <t>UM TIGIE</t>
  </si>
  <si>
    <t>Plazo legal (meses)</t>
  </si>
  <si>
    <t>Fundamento del plazo</t>
  </si>
  <si>
    <t>Producto</t>
  </si>
  <si>
    <t>Material</t>
  </si>
  <si>
    <t>kg por pieza</t>
  </si>
  <si>
    <t>MP-001</t>
  </si>
  <si>
    <t>Resina polipropileno copolímero</t>
  </si>
  <si>
    <t>3902.10.01</t>
  </si>
  <si>
    <t>KGM</t>
  </si>
  <si>
    <t>LA art. 108 fr. I inc. b): materias primas, partes y componentes destinados a integrar mercancía de exportación</t>
  </si>
  <si>
    <t>PT-001</t>
  </si>
  <si>
    <t>MP-002</t>
  </si>
  <si>
    <t>Resina ABS</t>
  </si>
  <si>
    <t>3903.30.01</t>
  </si>
  <si>
    <t>LA art. 108 fr. I inc. b)</t>
  </si>
  <si>
    <t>MP-003</t>
  </si>
  <si>
    <t>Masterbatch colorante</t>
  </si>
  <si>
    <t>3206.49.99</t>
  </si>
  <si>
    <t>PT-002</t>
  </si>
  <si>
    <t>Otros plazos del art. 108 (no modelados): envases, empaques, etiquetas, folletos y lubricantes = 18 meses; contenedores y cajas de trailers = 2 años; maquinaria, equipo, moldes y refacciones = vigencia del programa.</t>
  </si>
  <si>
    <t>Productos terminados</t>
  </si>
  <si>
    <t>Tapa rosca 38 mm</t>
  </si>
  <si>
    <t>3923.50.01</t>
  </si>
  <si>
    <t>PZA</t>
  </si>
  <si>
    <t>Carcasa control remoto</t>
  </si>
  <si>
    <t>3926.90.99</t>
  </si>
  <si>
    <t>Fracciones arancelarias ilustrativas: validar contra la TIGIE antes de usar con una empresa real.</t>
  </si>
  <si>
    <t>Cédula de inventario por pedimento (ledger): un renglón = un pedimento de importación temporal de un material</t>
  </si>
  <si>
    <t>Azul = captura. Negro = fórmula. Fila 3 explica cómo se calcula cada columna.</t>
  </si>
  <si>
    <t>Dato del pedimento</t>
  </si>
  <si>
    <t>Clave de catálogo</t>
  </si>
  <si>
    <t>Lookup en Catalogos</t>
  </si>
  <si>
    <t>Valor en USD / kg</t>
  </si>
  <si>
    <t>Cálculo: MIN(importado, MAX(0, total a descargar del material − importado de pedimentos MÁS ANTIGUOS del mismo material))</t>
  </si>
  <si>
    <t>Cálculo: importado − descargado</t>
  </si>
  <si>
    <t>Cálculo: fecha de entrada + plazo legal del material (Catalogos)</t>
  </si>
  <si>
    <t>Cálculo: vence − fecha de corte</t>
  </si>
  <si>
    <t>Agotado / VENCIDO / ALERTA 30-60-90 / OK según días restantes</t>
  </si>
  <si>
    <t>Cálculo: saldo × valor unitario × tipo de cambio</t>
  </si>
  <si>
    <t>Pedimento (aduana-patente-número)</t>
  </si>
  <si>
    <t>Fecha de entrada</t>
  </si>
  <si>
    <t>Descripción</t>
  </si>
  <si>
    <t>Fracción</t>
  </si>
  <si>
    <t>Cantidad importada (kg)</t>
  </si>
  <si>
    <t>Valor unitario (USD/kg)</t>
  </si>
  <si>
    <t>Descargado PEPS (kg)</t>
  </si>
  <si>
    <t>Saldo (kg)</t>
  </si>
  <si>
    <t>Vence (reloj legal)</t>
  </si>
  <si>
    <t>Días restantes</t>
  </si>
  <si>
    <t>Alerta</t>
  </si>
  <si>
    <t>Valor del saldo (MXN)</t>
  </si>
  <si>
    <t>240-3210-6000101</t>
  </si>
  <si>
    <t>IN</t>
  </si>
  <si>
    <t>240-3210-6000140</t>
  </si>
  <si>
    <t>240-3210-6000377</t>
  </si>
  <si>
    <t>240-3210-6000590</t>
  </si>
  <si>
    <t>240-3210-6000088</t>
  </si>
  <si>
    <t>240-3210-6000301</t>
  </si>
  <si>
    <t>240-3210-6000544</t>
  </si>
  <si>
    <t>240-3210-6000212</t>
  </si>
  <si>
    <t>240-3210-6000350</t>
  </si>
  <si>
    <t>240-3210-6000571</t>
  </si>
  <si>
    <t>Producción y consumo real de materiales (Anexo 24, apdo. A, fr. II inc. b: módulo de materiales utilizados)</t>
  </si>
  <si>
    <t>A. Producción del periodo (captura mensual del cliente)</t>
  </si>
  <si>
    <t>Periodo</t>
  </si>
  <si>
    <t>Piezas producidas</t>
  </si>
  <si>
    <t>Merma real (% del consumo teórico)</t>
  </si>
  <si>
    <t>2026-08</t>
  </si>
  <si>
    <t>2026-09</t>
  </si>
  <si>
    <t>B. Consumo real calculado = piezas × BOM + merma (fórmulas; no se captura)</t>
  </si>
  <si>
    <t>Consumo real = consumo teórico × (1 + merma %). Es lo que se descarga por PEPS en la cédula (hoja Entradas).</t>
  </si>
  <si>
    <t>Piezas</t>
  </si>
  <si>
    <t>kg por pieza (BOM)</t>
  </si>
  <si>
    <t>Consumo teórico (kg)</t>
  </si>
  <si>
    <t>Merma %</t>
  </si>
  <si>
    <t>Merma (kg)</t>
  </si>
  <si>
    <t>Consumo real (kg)</t>
  </si>
  <si>
    <t>Revisión</t>
  </si>
  <si>
    <t>Salidas de material: retornos, destrucciones y cambios de régimen (Anexo 24, apdo. A, fr. II inc. c)</t>
  </si>
  <si>
    <t>Se suman al consumo para calcular la descarga PEPS. Las claves de pedimento son ilustrativas (validar en el Apéndice 2 del Anexo 22).</t>
  </si>
  <si>
    <t>Fecha</t>
  </si>
  <si>
    <t>Cantidad (kg)</t>
  </si>
  <si>
    <t>Observación</t>
  </si>
  <si>
    <t>240-3210-6000412</t>
  </si>
  <si>
    <t>RT</t>
  </si>
  <si>
    <t>Retorno</t>
  </si>
  <si>
    <t>Retorno de resina sobrante</t>
  </si>
  <si>
    <t>240-3210-6000433</t>
  </si>
  <si>
    <t>DE</t>
  </si>
  <si>
    <t>Destrucción</t>
  </si>
  <si>
    <t>Desperdicio destruido (requiere aviso previo de destrucción; ver LEEME)</t>
  </si>
  <si>
    <t>240-3210-6000458</t>
  </si>
  <si>
    <t>Retorno de masterbatch: excede lo importado, genera faltante</t>
  </si>
  <si>
    <t>Tablero de exposición — Control de inventarios Anexo 24 (IMMEX)</t>
  </si>
  <si>
    <t>Fecha de corte:</t>
  </si>
  <si>
    <t>Valor total del saldo (MXN)</t>
  </si>
  <si>
    <t>En riesgo dentro de alertas (MXN)</t>
  </si>
  <si>
    <t>Pedimentos con alerta</t>
  </si>
  <si>
    <t>Faltante por conciliar (kg)</t>
  </si>
  <si>
    <t>Saldo y valor en riesgo por ventana de vencimiento</t>
  </si>
  <si>
    <t>Ventana</t>
  </si>
  <si>
    <t>Pedimentos con saldo</t>
  </si>
  <si>
    <t>Valor en riesgo (MXN)</t>
  </si>
  <si>
    <t>Nivel</t>
  </si>
  <si>
    <t>Vencido</t>
  </si>
  <si>
    <t>VENCIDO</t>
  </si>
  <si>
    <t>ALERTA 30</t>
  </si>
  <si>
    <t>ALERTA 60</t>
  </si>
  <si>
    <t>ALERTA 90</t>
  </si>
  <si>
    <t>OK</t>
  </si>
  <si>
    <t>Total</t>
  </si>
  <si>
    <t>Conciliación por material: lo importado contra lo que se debe descargar</t>
  </si>
  <si>
    <t>Importado (kg)</t>
  </si>
  <si>
    <t>Descarga requerida (kg)</t>
  </si>
  <si>
    <t>Faltante (kg)</t>
  </si>
  <si>
    <t>Estatus</t>
  </si>
  <si>
    <t>Merma por material contra la tolerancia interna</t>
  </si>
  <si>
    <t>Tolerancia</t>
  </si>
  <si>
    <t>Referencia legal (no es un cálculo de exposición)</t>
  </si>
  <si>
    <t>Multa por no llevar control de inventarios (LA art. 185-B), por infracción:</t>
  </si>
  <si>
    <t>Un material vencido sin retornar ni cambiar de régimen se considera ilegalmente en el país (LA art. 108); sus contribuciones e infracciones no están modeladas aquí.</t>
  </si>
  <si>
    <t>Reportes mínimos del Anexo 24, apartado A, fracción III</t>
  </si>
  <si>
    <t>a) Reporte de entrada de mercancías de importación temporal</t>
  </si>
  <si>
    <t>b) Reporte de salida de mercancías de importación temporal</t>
  </si>
  <si>
    <t>Fecha del pedimento</t>
  </si>
  <si>
    <t>c) Reporte de saldos de mercancías de importación temporal (por fracción arancelaria)</t>
  </si>
  <si>
    <t>Descargado (kg)</t>
  </si>
  <si>
    <t>d) Reporte de materiales utilizados en la producción</t>
  </si>
  <si>
    <t>Modelo de datos y reglas para programadores (Java / Python)</t>
  </si>
  <si>
    <t>Este Excel es la representación del sistema. Cada hoja de captura es una tabla; cada columna de fórmula es una regla de negocio.</t>
  </si>
  <si>
    <t>Tabla</t>
  </si>
  <si>
    <t>Campo</t>
  </si>
  <si>
    <t>Regla / origen</t>
  </si>
  <si>
    <t>material</t>
  </si>
  <si>
    <t>clave, descripcion, fraccion, um_tigie, plazo_meses</t>
  </si>
  <si>
    <t>texto / int</t>
  </si>
  <si>
    <t>Catálogo. plazo_meses viene de LA art. 108 (18 meses para insumos).</t>
  </si>
  <si>
    <t>producto</t>
  </si>
  <si>
    <t>clave, descripcion, fraccion, um_tigie</t>
  </si>
  <si>
    <t>texto</t>
  </si>
  <si>
    <t>Catálogo.</t>
  </si>
  <si>
    <t>bom</t>
  </si>
  <si>
    <t>producto, material, kg_por_pieza</t>
  </si>
  <si>
    <t>decimal</t>
  </si>
  <si>
    <t>Lista de materiales. Consumo teórico = piezas × kg_por_pieza.</t>
  </si>
  <si>
    <t>pedimento_entrada (lote)</t>
  </si>
  <si>
    <t>pedimento, clave, fecha_entrada, material, cantidad, valor_unit_usd</t>
  </si>
  <si>
    <t>Un renglón por pedimento y material. Es la unidad que se descarga por PEPS y la que tiene reloj legal.</t>
  </si>
  <si>
    <t>produccion</t>
  </si>
  <si>
    <t>periodo, producto, piezas, merma_pct</t>
  </si>
  <si>
    <t>Captura mensual del cliente.</t>
  </si>
  <si>
    <t>consumo (derivada)</t>
  </si>
  <si>
    <t>periodo, producto, material, consumo_teorico, merma_kg, consumo_real</t>
  </si>
  <si>
    <t>consumo_real = piezas × kg_por_pieza × (1 + merma_pct). Se calcula, no se captura.</t>
  </si>
  <si>
    <t>salida</t>
  </si>
  <si>
    <t>pedimento, clave, fecha, material, tipo, cantidad</t>
  </si>
  <si>
    <t>Retorno, destrucción, transferencia o cambio de régimen. Descarga igual que el consumo.</t>
  </si>
  <si>
    <t>parametro</t>
  </si>
  <si>
    <t>ver hoja Parametros</t>
  </si>
  <si>
    <t>Distinguir LEY / RETO / SUPUESTO. Todo parámetro debe poder editarse sin tocar el código.</t>
  </si>
  <si>
    <t>Algoritmo PEPS (primero en entrar, primero en salir) — Anexo 24, apdo. A, fr. II inc. c)</t>
  </si>
  <si>
    <t>para cada material m:</t>
  </si>
  <si>
    <t xml:space="preserve">    por_descargar = suma(consumo_real de m) + suma(salidas de m)</t>
  </si>
  <si>
    <t xml:space="preserve">    para cada lote de m ordenado por fecha_entrada ascendente (desempate: número de pedimento):</t>
  </si>
  <si>
    <t xml:space="preserve">        descargado = min(lote.cantidad, por_descargar)</t>
  </si>
  <si>
    <t xml:space="preserve">        lote.saldo = lote.cantidad − descargado ;  por_descargar −= descargado</t>
  </si>
  <si>
    <t xml:space="preserve">    si por_descargar &gt; 0 → EXCEPCIÓN 'faltante' (salidas y consumo exceden lo importado)</t>
  </si>
  <si>
    <t>vence = fecha_entrada + plazo_meses del material      dias_restantes = vence − fecha_corte</t>
  </si>
  <si>
    <t>alerta = VENCIDO si &lt;0 ; ALERTA 30 / 60 / 90 según dias_restantes ; Agotado si saldo = 0</t>
  </si>
  <si>
    <t>riesgo_mxn = saldo × valor_unit_usd × tipo_cambio</t>
  </si>
  <si>
    <t>En el sistema real: NO sobrescribir. Registrar cada descarga como un movimiento inmutable (quién, cuándo, por qué, pedimento afectado, cantidad) y</t>
  </si>
  <si>
    <t>calcular saldos como suma de movimientos. Así se cumple 'cada cambio queda registrado' y se puede simular y revertir descargas.</t>
  </si>
  <si>
    <t>Casos de prueba (oráculo): con los datos de este libro, el programa debe dar estos descargos por pedimento</t>
  </si>
  <si>
    <t>Pedimento</t>
  </si>
  <si>
    <t>Descargado esperado (kg)</t>
  </si>
  <si>
    <t>Descargado en el Excel (kg)</t>
  </si>
  <si>
    <t>¿Coincide?</t>
  </si>
  <si>
    <t>Faltante esperado de MP-003 (masterbatch): 332.80 kg. Fecha de corte 20/10/2026; si cambia la fecha, cambian días y alertas, no los descargos.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</si>
</sst>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0.0%"/>
    <numFmt numFmtId="166" formatCode="#,##0;\(#,##0\);\-"/>
    <numFmt numFmtId="167" formatCode="0.0000"/>
    <numFmt numFmtId="168" formatCode="#,##0.00;\(#,##0.00\);\-"/>
    <numFmt numFmtId="169" formatCode="0;\-0;0"/>
    <numFmt numFmtId="170" formatCode="0;\-0;\-"/>
  </numFmts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9"/>
      <color rgb="FF0000FF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F2A8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A8"/>
        <bgColor rgb="FFFFFF99"/>
      </patternFill>
    </fill>
    <fill>
      <patternFill patternType="solid">
        <fgColor rgb="FFC6E0B4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6" fillId="0" borderId="0" xfId="0" applyFont="1"/>
    <xf numFmtId="0" fontId="8" fillId="0" borderId="1" xfId="0" applyFont="1" applyBorder="1" applyAlignment="1">
      <alignment vertical="top" wrapText="1"/>
    </xf>
    <xf numFmtId="0" fontId="9" fillId="4" borderId="1" xfId="0" applyFont="1" applyFill="1" applyBorder="1"/>
    <xf numFmtId="0" fontId="8" fillId="0" borderId="1" xfId="0" applyFont="1" applyBorder="1" applyAlignment="1">
      <alignment horizontal="center"/>
    </xf>
    <xf numFmtId="164" fontId="9" fillId="4" borderId="1" xfId="0" applyNumberFormat="1" applyFont="1" applyFill="1" applyBorder="1"/>
    <xf numFmtId="2" fontId="9" fillId="4" borderId="1" xfId="0" applyNumberFormat="1" applyFont="1" applyFill="1" applyBorder="1"/>
    <xf numFmtId="165" fontId="9" fillId="4" borderId="1" xfId="0" applyNumberFormat="1" applyFont="1" applyFill="1" applyBorder="1"/>
    <xf numFmtId="1" fontId="9" fillId="4" borderId="1" xfId="0" applyNumberFormat="1" applyFont="1" applyFill="1" applyBorder="1"/>
    <xf numFmtId="166" fontId="9" fillId="4" borderId="1" xfId="0" applyNumberFormat="1" applyFont="1" applyFill="1" applyBorder="1"/>
    <xf numFmtId="0" fontId="8" fillId="0" borderId="0" xfId="0" applyFont="1"/>
    <xf numFmtId="0" fontId="9" fillId="0" borderId="1" xfId="0" applyFont="1" applyBorder="1"/>
    <xf numFmtId="0" fontId="10" fillId="0" borderId="1" xfId="0" applyFont="1" applyBorder="1"/>
    <xf numFmtId="167" fontId="9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vertical="top" wrapText="1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2" fillId="0" borderId="1" xfId="0" applyFont="1" applyBorder="1"/>
    <xf numFmtId="168" fontId="9" fillId="0" borderId="1" xfId="0" applyNumberFormat="1" applyFont="1" applyBorder="1"/>
    <xf numFmtId="2" fontId="9" fillId="0" borderId="1" xfId="0" applyNumberFormat="1" applyFont="1" applyBorder="1"/>
    <xf numFmtId="168" fontId="2" fillId="0" borderId="1" xfId="0" applyNumberFormat="1" applyFont="1" applyBorder="1"/>
    <xf numFmtId="164" fontId="2" fillId="0" borderId="1" xfId="0" applyNumberFormat="1" applyFont="1" applyBorder="1"/>
    <xf numFmtId="16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/>
    <xf numFmtId="3" fontId="9" fillId="0" borderId="1" xfId="0" applyNumberFormat="1" applyFont="1" applyBorder="1"/>
    <xf numFmtId="165" fontId="9" fillId="0" borderId="1" xfId="0" applyNumberFormat="1" applyFont="1" applyBorder="1"/>
    <xf numFmtId="3" fontId="2" fillId="0" borderId="1" xfId="0" applyNumberFormat="1" applyFont="1" applyBorder="1"/>
    <xf numFmtId="167" fontId="2" fillId="0" borderId="1" xfId="0" applyNumberFormat="1" applyFont="1" applyBorder="1"/>
    <xf numFmtId="165" fontId="2" fillId="0" borderId="1" xfId="0" applyNumberFormat="1" applyFont="1" applyBorder="1"/>
    <xf numFmtId="0" fontId="1" fillId="0" borderId="0" xfId="0" applyFont="1"/>
    <xf numFmtId="0" fontId="8" fillId="0" borderId="0" xfId="0" applyFont="1" applyAlignment="1">
      <alignment horizontal="right"/>
    </xf>
    <xf numFmtId="164" fontId="8" fillId="0" borderId="0" xfId="0" applyNumberFormat="1" applyFont="1"/>
    <xf numFmtId="0" fontId="5" fillId="0" borderId="0" xfId="0" applyFont="1" applyAlignment="1">
      <alignment vertical="top" wrapText="1"/>
    </xf>
    <xf numFmtId="166" fontId="1" fillId="0" borderId="0" xfId="0" applyNumberFormat="1" applyFont="1"/>
    <xf numFmtId="1" fontId="1" fillId="0" borderId="0" xfId="0" applyNumberFormat="1" applyFont="1"/>
    <xf numFmtId="168" fontId="1" fillId="0" borderId="0" xfId="0" applyNumberFormat="1" applyFont="1"/>
    <xf numFmtId="0" fontId="3" fillId="0" borderId="0" xfId="0" applyFont="1"/>
    <xf numFmtId="170" fontId="2" fillId="0" borderId="1" xfId="0" applyNumberFormat="1" applyFont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8" fillId="0" borderId="1" xfId="0" applyFont="1" applyBorder="1"/>
    <xf numFmtId="1" fontId="8" fillId="0" borderId="1" xfId="0" applyNumberFormat="1" applyFont="1" applyBorder="1"/>
    <xf numFmtId="168" fontId="8" fillId="0" borderId="1" xfId="0" applyNumberFormat="1" applyFont="1" applyBorder="1"/>
    <xf numFmtId="166" fontId="8" fillId="0" borderId="1" xfId="0" applyNumberFormat="1" applyFont="1" applyBorder="1"/>
    <xf numFmtId="166" fontId="6" fillId="0" borderId="0" xfId="0" applyNumberFormat="1" applyFont="1"/>
    <xf numFmtId="0" fontId="13" fillId="0" borderId="0" xfId="0" applyFont="1"/>
    <xf numFmtId="0" fontId="2" fillId="0" borderId="0" xfId="0" applyFont="1"/>
    <xf numFmtId="164" fontId="2" fillId="0" borderId="0" xfId="0" applyNumberFormat="1" applyFont="1"/>
    <xf numFmtId="0" fontId="8" fillId="2" borderId="0" xfId="0" applyFont="1" applyFill="1"/>
    <xf numFmtId="0" fontId="0" fillId="2" borderId="0" xfId="0" applyFill="1"/>
  </cellXfs>
  <cellStyles count="1">
    <cellStyle name="Normal" xfId="0" builtinId="0"/>
  </cellStyles>
  <dxfs count="14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F2A8"/>
        </patternFill>
      </fill>
    </dxf>
    <dxf>
      <fill>
        <patternFill>
          <bgColor rgb="FFF8CBAD"/>
        </patternFill>
      </fill>
    </dxf>
    <dxf>
      <fill>
        <patternFill>
          <bgColor rgb="FFF4B6B6"/>
        </patternFill>
      </fill>
    </dxf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A8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tabSelected="1" zoomScaleNormal="100" workbookViewId="0">
      <selection sqref="A1:D1"/>
    </sheetView>
  </sheetViews>
  <sheetFormatPr baseColWidth="10" defaultColWidth="8.7109375" defaultRowHeight="15" x14ac:dyDescent="0.25"/>
  <cols>
    <col min="1" max="1" width="30" customWidth="1"/>
    <col min="2" max="2" width="78" customWidth="1"/>
    <col min="3" max="3" width="42" customWidth="1"/>
    <col min="4" max="4" width="34" customWidth="1"/>
  </cols>
  <sheetData>
    <row r="1" spans="1:4" ht="15" customHeight="1" x14ac:dyDescent="0.25">
      <c r="A1" s="3" t="s">
        <v>0</v>
      </c>
      <c r="B1" s="3"/>
      <c r="C1" s="3"/>
      <c r="D1" s="3"/>
    </row>
    <row r="2" spans="1:4" ht="27" customHeight="1" x14ac:dyDescent="0.25">
      <c r="A2" s="2" t="s">
        <v>1</v>
      </c>
      <c r="B2" s="2"/>
      <c r="C2" s="2"/>
      <c r="D2" s="2"/>
    </row>
    <row r="4" spans="1:4" ht="15" customHeight="1" x14ac:dyDescent="0.25">
      <c r="A4" s="1" t="s">
        <v>2</v>
      </c>
      <c r="B4" s="1"/>
      <c r="C4" s="1"/>
      <c r="D4" s="1"/>
    </row>
    <row r="5" spans="1:4" ht="27" customHeight="1" x14ac:dyDescent="0.25">
      <c r="A5" s="2" t="s">
        <v>3</v>
      </c>
      <c r="B5" s="2"/>
      <c r="C5" s="2"/>
      <c r="D5" s="2"/>
    </row>
    <row r="6" spans="1:4" ht="15" customHeight="1" x14ac:dyDescent="0.25">
      <c r="A6" s="2" t="s">
        <v>4</v>
      </c>
      <c r="B6" s="2"/>
      <c r="C6" s="2"/>
      <c r="D6" s="2"/>
    </row>
    <row r="7" spans="1:4" ht="15" customHeight="1" x14ac:dyDescent="0.25">
      <c r="A7" s="2" t="s">
        <v>5</v>
      </c>
      <c r="B7" s="2"/>
      <c r="C7" s="2"/>
      <c r="D7" s="2"/>
    </row>
    <row r="8" spans="1:4" ht="27" customHeight="1" x14ac:dyDescent="0.25">
      <c r="A8" s="2" t="s">
        <v>6</v>
      </c>
      <c r="B8" s="2"/>
      <c r="C8" s="2"/>
      <c r="D8" s="2"/>
    </row>
    <row r="9" spans="1:4" ht="27" customHeight="1" x14ac:dyDescent="0.25">
      <c r="A9" s="2" t="s">
        <v>7</v>
      </c>
      <c r="B9" s="2"/>
      <c r="C9" s="2"/>
      <c r="D9" s="2"/>
    </row>
    <row r="10" spans="1:4" ht="27" customHeight="1" x14ac:dyDescent="0.25">
      <c r="A10" s="2" t="s">
        <v>8</v>
      </c>
      <c r="B10" s="2"/>
      <c r="C10" s="2"/>
      <c r="D10" s="2"/>
    </row>
    <row r="11" spans="1:4" ht="15" customHeight="1" x14ac:dyDescent="0.25">
      <c r="A11" s="2" t="s">
        <v>9</v>
      </c>
      <c r="B11" s="2"/>
      <c r="C11" s="2"/>
      <c r="D11" s="2"/>
    </row>
    <row r="13" spans="1:4" ht="15" customHeight="1" x14ac:dyDescent="0.25">
      <c r="A13" s="1" t="s">
        <v>10</v>
      </c>
      <c r="B13" s="1"/>
      <c r="C13" s="1"/>
      <c r="D13" s="1"/>
    </row>
    <row r="14" spans="1:4" ht="31.5" customHeight="1" x14ac:dyDescent="0.25">
      <c r="A14" s="4" t="s">
        <v>11</v>
      </c>
      <c r="B14" s="4" t="s">
        <v>12</v>
      </c>
      <c r="C14" s="4" t="s">
        <v>13</v>
      </c>
      <c r="D14" s="4" t="s">
        <v>14</v>
      </c>
    </row>
    <row r="15" spans="1:4" ht="99.75" customHeight="1" x14ac:dyDescent="0.25">
      <c r="A15" s="5" t="s">
        <v>15</v>
      </c>
      <c r="B15" s="6" t="s">
        <v>16</v>
      </c>
      <c r="C15" s="6" t="s">
        <v>17</v>
      </c>
      <c r="D15" s="6" t="s">
        <v>18</v>
      </c>
    </row>
    <row r="16" spans="1:4" ht="37.5" customHeight="1" x14ac:dyDescent="0.25">
      <c r="A16" s="5" t="s">
        <v>19</v>
      </c>
      <c r="B16" s="6" t="s">
        <v>20</v>
      </c>
      <c r="C16" s="6" t="s">
        <v>21</v>
      </c>
      <c r="D16" s="6" t="s">
        <v>22</v>
      </c>
    </row>
    <row r="17" spans="1:4" ht="49.5" customHeight="1" x14ac:dyDescent="0.25">
      <c r="A17" s="5" t="s">
        <v>23</v>
      </c>
      <c r="B17" s="6" t="s">
        <v>24</v>
      </c>
      <c r="C17" s="6" t="s">
        <v>25</v>
      </c>
      <c r="D17" s="6" t="s">
        <v>26</v>
      </c>
    </row>
    <row r="18" spans="1:4" ht="49.5" customHeight="1" x14ac:dyDescent="0.25">
      <c r="A18" s="5" t="s">
        <v>27</v>
      </c>
      <c r="B18" s="6" t="s">
        <v>28</v>
      </c>
      <c r="C18" s="6" t="s">
        <v>29</v>
      </c>
      <c r="D18" s="6" t="s">
        <v>30</v>
      </c>
    </row>
    <row r="19" spans="1:4" ht="75" customHeight="1" x14ac:dyDescent="0.25">
      <c r="A19" s="5" t="s">
        <v>31</v>
      </c>
      <c r="B19" s="6" t="s">
        <v>32</v>
      </c>
      <c r="C19" s="6" t="s">
        <v>33</v>
      </c>
      <c r="D19" s="6" t="s">
        <v>34</v>
      </c>
    </row>
    <row r="20" spans="1:4" ht="24.75" customHeight="1" x14ac:dyDescent="0.25">
      <c r="A20" s="5" t="s">
        <v>35</v>
      </c>
      <c r="B20" s="6" t="s">
        <v>36</v>
      </c>
      <c r="C20" s="6" t="s">
        <v>37</v>
      </c>
      <c r="D20" s="6" t="s">
        <v>38</v>
      </c>
    </row>
    <row r="22" spans="1:4" ht="15" customHeight="1" x14ac:dyDescent="0.25">
      <c r="A22" s="1" t="s">
        <v>39</v>
      </c>
      <c r="B22" s="1"/>
      <c r="C22" s="1"/>
      <c r="D22" s="1"/>
    </row>
    <row r="23" spans="1:4" ht="15" customHeight="1" x14ac:dyDescent="0.25">
      <c r="A23" s="2" t="s">
        <v>40</v>
      </c>
      <c r="B23" s="2"/>
      <c r="C23" s="2"/>
      <c r="D23" s="2"/>
    </row>
    <row r="24" spans="1:4" ht="15" customHeight="1" x14ac:dyDescent="0.25">
      <c r="A24" s="2" t="s">
        <v>41</v>
      </c>
      <c r="B24" s="2"/>
      <c r="C24" s="2"/>
      <c r="D24" s="2"/>
    </row>
    <row r="25" spans="1:4" ht="15" customHeight="1" x14ac:dyDescent="0.25">
      <c r="A25" s="2" t="s">
        <v>42</v>
      </c>
      <c r="B25" s="2"/>
      <c r="C25" s="2"/>
      <c r="D25" s="2"/>
    </row>
    <row r="26" spans="1:4" ht="15" customHeight="1" x14ac:dyDescent="0.25">
      <c r="A26" s="2" t="s">
        <v>43</v>
      </c>
      <c r="B26" s="2"/>
      <c r="C26" s="2"/>
      <c r="D26" s="2"/>
    </row>
    <row r="28" spans="1:4" ht="15" customHeight="1" x14ac:dyDescent="0.25">
      <c r="A28" s="1" t="s">
        <v>44</v>
      </c>
      <c r="B28" s="1"/>
      <c r="C28" s="1"/>
      <c r="D28" s="1"/>
    </row>
    <row r="29" spans="1:4" ht="27" customHeight="1" x14ac:dyDescent="0.25">
      <c r="A29" s="2" t="s">
        <v>45</v>
      </c>
      <c r="B29" s="2"/>
      <c r="C29" s="2"/>
      <c r="D29" s="2"/>
    </row>
    <row r="30" spans="1:4" ht="15" customHeight="1" x14ac:dyDescent="0.25">
      <c r="A30" s="2" t="s">
        <v>46</v>
      </c>
      <c r="B30" s="2"/>
      <c r="C30" s="2"/>
      <c r="D30" s="2"/>
    </row>
    <row r="31" spans="1:4" ht="15" customHeight="1" x14ac:dyDescent="0.25">
      <c r="A31" s="2" t="s">
        <v>47</v>
      </c>
      <c r="B31" s="2"/>
      <c r="C31" s="2"/>
      <c r="D31" s="2"/>
    </row>
    <row r="32" spans="1:4" ht="15" customHeight="1" x14ac:dyDescent="0.25">
      <c r="A32" s="2" t="s">
        <v>48</v>
      </c>
      <c r="B32" s="2"/>
      <c r="C32" s="2"/>
      <c r="D32" s="2"/>
    </row>
  </sheetData>
  <mergeCells count="21">
    <mergeCell ref="A32:D32"/>
    <mergeCell ref="A26:D26"/>
    <mergeCell ref="A28:D28"/>
    <mergeCell ref="A29:D29"/>
    <mergeCell ref="A30:D30"/>
    <mergeCell ref="A31:D31"/>
    <mergeCell ref="A13:D13"/>
    <mergeCell ref="A22:D22"/>
    <mergeCell ref="A23:D23"/>
    <mergeCell ref="A24:D24"/>
    <mergeCell ref="A25:D25"/>
    <mergeCell ref="A7:D7"/>
    <mergeCell ref="A8:D8"/>
    <mergeCell ref="A9:D9"/>
    <mergeCell ref="A10:D10"/>
    <mergeCell ref="A11:D11"/>
    <mergeCell ref="A1:D1"/>
    <mergeCell ref="A2:D2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zoomScaleNormal="100" workbookViewId="0"/>
  </sheetViews>
  <sheetFormatPr baseColWidth="10" defaultColWidth="8.7109375" defaultRowHeight="15" x14ac:dyDescent="0.25"/>
  <cols>
    <col min="1" max="1" width="44" customWidth="1"/>
    <col min="2" max="2" width="56" customWidth="1"/>
    <col min="3" max="3" width="11" customWidth="1"/>
    <col min="4" max="4" width="90" customWidth="1"/>
  </cols>
  <sheetData>
    <row r="1" spans="1:4" ht="15.75" x14ac:dyDescent="0.25">
      <c r="A1" s="7" t="s">
        <v>49</v>
      </c>
    </row>
    <row r="2" spans="1:4" x14ac:dyDescent="0.25">
      <c r="A2" s="8" t="s">
        <v>50</v>
      </c>
    </row>
    <row r="3" spans="1:4" ht="31.5" customHeight="1" x14ac:dyDescent="0.25">
      <c r="A3" s="4" t="s">
        <v>51</v>
      </c>
      <c r="B3" s="4" t="s">
        <v>52</v>
      </c>
      <c r="C3" s="4" t="s">
        <v>53</v>
      </c>
      <c r="D3" s="4" t="s">
        <v>54</v>
      </c>
    </row>
    <row r="4" spans="1:4" ht="27.75" customHeight="1" x14ac:dyDescent="0.25">
      <c r="A4" s="9" t="s">
        <v>55</v>
      </c>
      <c r="B4" s="10" t="s">
        <v>56</v>
      </c>
      <c r="C4" s="11" t="s">
        <v>57</v>
      </c>
      <c r="D4" s="6" t="s">
        <v>58</v>
      </c>
    </row>
    <row r="5" spans="1:4" ht="27.75" customHeight="1" x14ac:dyDescent="0.25">
      <c r="A5" s="9" t="s">
        <v>59</v>
      </c>
      <c r="B5" s="10" t="s">
        <v>60</v>
      </c>
      <c r="C5" s="11" t="s">
        <v>57</v>
      </c>
      <c r="D5" s="6" t="s">
        <v>61</v>
      </c>
    </row>
    <row r="6" spans="1:4" ht="27.75" customHeight="1" x14ac:dyDescent="0.25">
      <c r="A6" s="9" t="s">
        <v>62</v>
      </c>
      <c r="B6" s="10" t="s">
        <v>63</v>
      </c>
      <c r="C6" s="11" t="s">
        <v>57</v>
      </c>
      <c r="D6" s="6" t="s">
        <v>64</v>
      </c>
    </row>
    <row r="7" spans="1:4" ht="27.75" customHeight="1" x14ac:dyDescent="0.25">
      <c r="A7" s="9" t="s">
        <v>65</v>
      </c>
      <c r="B7" s="10" t="s">
        <v>66</v>
      </c>
      <c r="C7" s="11" t="s">
        <v>57</v>
      </c>
      <c r="D7" s="6" t="s">
        <v>67</v>
      </c>
    </row>
    <row r="8" spans="1:4" ht="27.75" customHeight="1" x14ac:dyDescent="0.25">
      <c r="A8" s="9" t="s">
        <v>68</v>
      </c>
      <c r="B8" s="12">
        <v>46315</v>
      </c>
      <c r="C8" s="11" t="s">
        <v>57</v>
      </c>
      <c r="D8" s="6" t="s">
        <v>69</v>
      </c>
    </row>
    <row r="9" spans="1:4" ht="27.75" customHeight="1" x14ac:dyDescent="0.25">
      <c r="A9" s="9" t="s">
        <v>70</v>
      </c>
      <c r="B9" s="13">
        <v>18.5</v>
      </c>
      <c r="C9" s="11" t="s">
        <v>57</v>
      </c>
      <c r="D9" s="6" t="s">
        <v>71</v>
      </c>
    </row>
    <row r="10" spans="1:4" ht="27.75" customHeight="1" x14ac:dyDescent="0.25">
      <c r="A10" s="9" t="s">
        <v>72</v>
      </c>
      <c r="B10" s="14">
        <v>0.03</v>
      </c>
      <c r="C10" s="11" t="s">
        <v>57</v>
      </c>
      <c r="D10" s="6" t="s">
        <v>73</v>
      </c>
    </row>
    <row r="11" spans="1:4" ht="27.75" customHeight="1" x14ac:dyDescent="0.25">
      <c r="A11" s="9" t="s">
        <v>74</v>
      </c>
      <c r="B11" s="15">
        <v>90</v>
      </c>
      <c r="C11" s="11" t="s">
        <v>75</v>
      </c>
      <c r="D11" s="6" t="s">
        <v>76</v>
      </c>
    </row>
    <row r="12" spans="1:4" ht="27.75" customHeight="1" x14ac:dyDescent="0.25">
      <c r="A12" s="9" t="s">
        <v>77</v>
      </c>
      <c r="B12" s="15">
        <v>60</v>
      </c>
      <c r="C12" s="11" t="s">
        <v>75</v>
      </c>
      <c r="D12" s="6" t="s">
        <v>78</v>
      </c>
    </row>
    <row r="13" spans="1:4" ht="27.75" customHeight="1" x14ac:dyDescent="0.25">
      <c r="A13" s="9" t="s">
        <v>79</v>
      </c>
      <c r="B13" s="15">
        <v>30</v>
      </c>
      <c r="C13" s="11" t="s">
        <v>75</v>
      </c>
      <c r="D13" s="6" t="s">
        <v>78</v>
      </c>
    </row>
    <row r="14" spans="1:4" ht="27.75" customHeight="1" x14ac:dyDescent="0.25">
      <c r="A14" s="9" t="s">
        <v>80</v>
      </c>
      <c r="B14" s="16">
        <v>27070</v>
      </c>
      <c r="C14" s="11" t="s">
        <v>81</v>
      </c>
      <c r="D14" s="6" t="s">
        <v>82</v>
      </c>
    </row>
    <row r="15" spans="1:4" ht="27.75" customHeight="1" x14ac:dyDescent="0.25">
      <c r="A15" s="9" t="s">
        <v>83</v>
      </c>
      <c r="B15" s="16">
        <v>54180</v>
      </c>
      <c r="C15" s="11" t="s">
        <v>81</v>
      </c>
      <c r="D15" s="6" t="s">
        <v>84</v>
      </c>
    </row>
    <row r="16" spans="1:4" ht="27.75" customHeight="1" x14ac:dyDescent="0.25">
      <c r="A16" s="9" t="s">
        <v>85</v>
      </c>
      <c r="B16" s="15">
        <v>60</v>
      </c>
      <c r="C16" s="11" t="s">
        <v>81</v>
      </c>
      <c r="D16" s="6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zoomScaleNormal="100" workbookViewId="0"/>
  </sheetViews>
  <sheetFormatPr baseColWidth="10" defaultColWidth="8.7109375" defaultRowHeight="15" x14ac:dyDescent="0.25"/>
  <cols>
    <col min="1" max="1" width="12" customWidth="1"/>
    <col min="2" max="2" width="34" customWidth="1"/>
    <col min="3" max="3" width="20" customWidth="1"/>
    <col min="4" max="4" width="10" customWidth="1"/>
    <col min="5" max="5" width="12" customWidth="1"/>
    <col min="6" max="6" width="62" customWidth="1"/>
    <col min="7" max="7" width="3" customWidth="1"/>
    <col min="8" max="9" width="12" customWidth="1"/>
    <col min="10" max="10" width="14" customWidth="1"/>
  </cols>
  <sheetData>
    <row r="1" spans="1:10" ht="15.75" x14ac:dyDescent="0.25">
      <c r="A1" s="7" t="s">
        <v>87</v>
      </c>
    </row>
    <row r="3" spans="1:10" x14ac:dyDescent="0.25">
      <c r="A3" s="17" t="s">
        <v>88</v>
      </c>
      <c r="H3" s="17" t="s">
        <v>89</v>
      </c>
    </row>
    <row r="4" spans="1:10" ht="31.5" customHeight="1" x14ac:dyDescent="0.25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H4" s="4" t="s">
        <v>96</v>
      </c>
      <c r="I4" s="4" t="s">
        <v>97</v>
      </c>
      <c r="J4" s="4" t="s">
        <v>98</v>
      </c>
    </row>
    <row r="5" spans="1:10" x14ac:dyDescent="0.25">
      <c r="A5" s="18" t="s">
        <v>99</v>
      </c>
      <c r="B5" s="18" t="s">
        <v>100</v>
      </c>
      <c r="C5" s="18" t="s">
        <v>101</v>
      </c>
      <c r="D5" s="18" t="s">
        <v>102</v>
      </c>
      <c r="E5" s="18">
        <v>18</v>
      </c>
      <c r="F5" s="19" t="s">
        <v>103</v>
      </c>
      <c r="H5" s="18" t="s">
        <v>104</v>
      </c>
      <c r="I5" s="18" t="s">
        <v>99</v>
      </c>
      <c r="J5" s="20">
        <v>2.8000000000000001E-2</v>
      </c>
    </row>
    <row r="6" spans="1:10" x14ac:dyDescent="0.25">
      <c r="A6" s="18" t="s">
        <v>105</v>
      </c>
      <c r="B6" s="18" t="s">
        <v>106</v>
      </c>
      <c r="C6" s="18" t="s">
        <v>107</v>
      </c>
      <c r="D6" s="18" t="s">
        <v>102</v>
      </c>
      <c r="E6" s="18">
        <v>18</v>
      </c>
      <c r="F6" s="19" t="s">
        <v>108</v>
      </c>
      <c r="H6" s="18" t="s">
        <v>104</v>
      </c>
      <c r="I6" s="18" t="s">
        <v>109</v>
      </c>
      <c r="J6" s="20">
        <v>5.9999999999999995E-4</v>
      </c>
    </row>
    <row r="7" spans="1:10" x14ac:dyDescent="0.25">
      <c r="A7" s="18" t="s">
        <v>109</v>
      </c>
      <c r="B7" s="18" t="s">
        <v>110</v>
      </c>
      <c r="C7" s="18" t="s">
        <v>111</v>
      </c>
      <c r="D7" s="18" t="s">
        <v>102</v>
      </c>
      <c r="E7" s="18">
        <v>18</v>
      </c>
      <c r="F7" s="19" t="s">
        <v>108</v>
      </c>
      <c r="H7" s="18" t="s">
        <v>112</v>
      </c>
      <c r="I7" s="18" t="s">
        <v>105</v>
      </c>
      <c r="J7" s="20">
        <v>8.5000000000000006E-2</v>
      </c>
    </row>
    <row r="8" spans="1:10" x14ac:dyDescent="0.25">
      <c r="H8" s="18" t="s">
        <v>112</v>
      </c>
      <c r="I8" s="18" t="s">
        <v>109</v>
      </c>
      <c r="J8" s="20">
        <v>1.6999999999999999E-3</v>
      </c>
    </row>
    <row r="9" spans="1:10" x14ac:dyDescent="0.25">
      <c r="A9" s="21" t="s">
        <v>113</v>
      </c>
    </row>
    <row r="11" spans="1:10" x14ac:dyDescent="0.25">
      <c r="A11" s="17" t="s">
        <v>114</v>
      </c>
    </row>
    <row r="12" spans="1:10" ht="31.5" customHeight="1" x14ac:dyDescent="0.25">
      <c r="A12" s="4" t="s">
        <v>90</v>
      </c>
      <c r="B12" s="4" t="s">
        <v>91</v>
      </c>
      <c r="C12" s="4" t="s">
        <v>92</v>
      </c>
      <c r="D12" s="4" t="s">
        <v>93</v>
      </c>
    </row>
    <row r="13" spans="1:10" x14ac:dyDescent="0.25">
      <c r="A13" s="18" t="s">
        <v>104</v>
      </c>
      <c r="B13" s="18" t="s">
        <v>115</v>
      </c>
      <c r="C13" s="18" t="s">
        <v>116</v>
      </c>
      <c r="D13" s="18" t="s">
        <v>117</v>
      </c>
    </row>
    <row r="14" spans="1:10" x14ac:dyDescent="0.25">
      <c r="A14" s="18" t="s">
        <v>112</v>
      </c>
      <c r="B14" s="18" t="s">
        <v>118</v>
      </c>
      <c r="C14" s="18" t="s">
        <v>119</v>
      </c>
      <c r="D14" s="18" t="s">
        <v>117</v>
      </c>
    </row>
    <row r="16" spans="1:10" x14ac:dyDescent="0.25">
      <c r="A16" s="21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24" customWidth="1"/>
    <col min="2" max="2" width="7" customWidth="1"/>
    <col min="3" max="3" width="13" customWidth="1"/>
    <col min="4" max="4" width="10" customWidth="1"/>
    <col min="5" max="5" width="30" customWidth="1"/>
    <col min="6" max="6" width="13" customWidth="1"/>
    <col min="7" max="7" width="15" customWidth="1"/>
    <col min="8" max="8" width="13" customWidth="1"/>
    <col min="9" max="9" width="15" customWidth="1"/>
    <col min="10" max="11" width="13" customWidth="1"/>
    <col min="12" max="12" width="10" customWidth="1"/>
    <col min="13" max="13" width="12" customWidth="1"/>
    <col min="14" max="14" width="17" customWidth="1"/>
  </cols>
  <sheetData>
    <row r="1" spans="1:14" ht="15.75" x14ac:dyDescent="0.25">
      <c r="A1" s="7" t="s">
        <v>121</v>
      </c>
    </row>
    <row r="2" spans="1:14" x14ac:dyDescent="0.25">
      <c r="A2" s="8" t="s">
        <v>122</v>
      </c>
    </row>
    <row r="3" spans="1:14" ht="61.5" customHeight="1" x14ac:dyDescent="0.25">
      <c r="A3" s="22" t="s">
        <v>123</v>
      </c>
      <c r="C3" s="22" t="s">
        <v>123</v>
      </c>
      <c r="D3" s="22" t="s">
        <v>124</v>
      </c>
      <c r="E3" s="22" t="s">
        <v>125</v>
      </c>
      <c r="F3" s="22" t="s">
        <v>125</v>
      </c>
      <c r="G3" s="22" t="s">
        <v>123</v>
      </c>
      <c r="H3" s="22" t="s">
        <v>126</v>
      </c>
      <c r="I3" s="22" t="s">
        <v>127</v>
      </c>
      <c r="J3" s="22" t="s">
        <v>128</v>
      </c>
      <c r="K3" s="22" t="s">
        <v>129</v>
      </c>
      <c r="L3" s="22" t="s">
        <v>130</v>
      </c>
      <c r="M3" s="22" t="s">
        <v>131</v>
      </c>
      <c r="N3" s="22" t="s">
        <v>132</v>
      </c>
    </row>
    <row r="4" spans="1:14" ht="31.5" customHeight="1" x14ac:dyDescent="0.25">
      <c r="A4" s="4" t="s">
        <v>133</v>
      </c>
      <c r="B4" s="4" t="s">
        <v>90</v>
      </c>
      <c r="C4" s="4" t="s">
        <v>134</v>
      </c>
      <c r="D4" s="4" t="s">
        <v>97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 t="s">
        <v>142</v>
      </c>
      <c r="M4" s="4" t="s">
        <v>143</v>
      </c>
      <c r="N4" s="4" t="s">
        <v>144</v>
      </c>
    </row>
    <row r="5" spans="1:14" x14ac:dyDescent="0.25">
      <c r="A5" s="18" t="s">
        <v>145</v>
      </c>
      <c r="B5" s="23" t="s">
        <v>146</v>
      </c>
      <c r="C5" s="24">
        <v>45806</v>
      </c>
      <c r="D5" s="18" t="s">
        <v>99</v>
      </c>
      <c r="E5" s="25" t="str">
        <f>IFERROR(INDEX(Catalogos!$B$5:$B$9,MATCH(D5,Catalogos!$A$5:$A$9,0)),"")</f>
        <v>Resina polipropileno copolímero</v>
      </c>
      <c r="F5" s="25" t="str">
        <f>IFERROR(INDEX(Catalogos!$C$5:$C$9,MATCH(D5,Catalogos!$A$5:$A$9,0)),"")</f>
        <v>3902.10.01</v>
      </c>
      <c r="G5" s="26">
        <v>24500</v>
      </c>
      <c r="H5" s="27">
        <v>1.35</v>
      </c>
      <c r="I5" s="28">
        <f>MIN(G5,MAX(0,SUMIFS(Consumo!$I$14:$I$40,Consumo!$C$14:$C$40,D5)+SUMIFS(Salidas!$F$5:$F$40,Salidas!$D$5:$D$40,D5)-SUMIFS($G$5:$G$40,$D$5:$D$40,D5,$C$5:$C$40,"&lt;"&amp;C5)))</f>
        <v>23942.720000000001</v>
      </c>
      <c r="J5" s="28">
        <f t="shared" ref="J5:J14" si="0">G5-I5</f>
        <v>557.27999999999884</v>
      </c>
      <c r="K5" s="29">
        <f>EDATE(C5,INDEX(Catalogos!$E$5:$E$9,MATCH(D5,Catalogos!$A$5:$A$9,0)))</f>
        <v>46355</v>
      </c>
      <c r="L5" s="30">
        <f>K5-Parametros!$B$8</f>
        <v>40</v>
      </c>
      <c r="M5" s="31" t="str">
        <f>IF(ROUND(J5,3)&lt;=0,"Agotado",IF(L5&lt;0,"VENCIDO",IF(L5&lt;=Parametros!$B$13,"ALERTA 30",IF(L5&lt;=Parametros!$B$12,"ALERTA 60",IF(L5&lt;=Parametros!$B$11,"ALERTA 90","OK")))))</f>
        <v>ALERTA 60</v>
      </c>
      <c r="N5" s="32">
        <f>J5*H5*Parametros!$B$9</f>
        <v>13918.067999999972</v>
      </c>
    </row>
    <row r="6" spans="1:14" x14ac:dyDescent="0.25">
      <c r="A6" s="18" t="s">
        <v>147</v>
      </c>
      <c r="B6" s="23" t="s">
        <v>146</v>
      </c>
      <c r="C6" s="24">
        <v>45846</v>
      </c>
      <c r="D6" s="18" t="s">
        <v>99</v>
      </c>
      <c r="E6" s="25" t="str">
        <f>IFERROR(INDEX(Catalogos!$B$5:$B$9,MATCH(D6,Catalogos!$A$5:$A$9,0)),"")</f>
        <v>Resina polipropileno copolímero</v>
      </c>
      <c r="F6" s="25" t="str">
        <f>IFERROR(INDEX(Catalogos!$C$5:$C$9,MATCH(D6,Catalogos!$A$5:$A$9,0)),"")</f>
        <v>3902.10.01</v>
      </c>
      <c r="G6" s="26">
        <v>15000</v>
      </c>
      <c r="H6" s="27">
        <v>1.38</v>
      </c>
      <c r="I6" s="28">
        <f>MIN(G6,MAX(0,SUMIFS(Consumo!$I$14:$I$40,Consumo!$C$14:$C$40,D6)+SUMIFS(Salidas!$F$5:$F$40,Salidas!$D$5:$D$40,D6)-SUMIFS($G$5:$G$40,$D$5:$D$40,D6,$C$5:$C$40,"&lt;"&amp;C6)))</f>
        <v>0</v>
      </c>
      <c r="J6" s="28">
        <f t="shared" si="0"/>
        <v>15000</v>
      </c>
      <c r="K6" s="29">
        <f>EDATE(C6,INDEX(Catalogos!$E$5:$E$9,MATCH(D6,Catalogos!$A$5:$A$9,0)))</f>
        <v>46395</v>
      </c>
      <c r="L6" s="30">
        <f>K6-Parametros!$B$8</f>
        <v>80</v>
      </c>
      <c r="M6" s="31" t="str">
        <f>IF(ROUND(J6,3)&lt;=0,"Agotado",IF(L6&lt;0,"VENCIDO",IF(L6&lt;=Parametros!$B$13,"ALERTA 30",IF(L6&lt;=Parametros!$B$12,"ALERTA 60",IF(L6&lt;=Parametros!$B$11,"ALERTA 90","OK")))))</f>
        <v>ALERTA 90</v>
      </c>
      <c r="N6" s="32">
        <f>J6*H6*Parametros!$B$9</f>
        <v>382950</v>
      </c>
    </row>
    <row r="7" spans="1:14" x14ac:dyDescent="0.25">
      <c r="A7" s="18" t="s">
        <v>148</v>
      </c>
      <c r="B7" s="23" t="s">
        <v>146</v>
      </c>
      <c r="C7" s="24">
        <v>46091</v>
      </c>
      <c r="D7" s="18" t="s">
        <v>99</v>
      </c>
      <c r="E7" s="25" t="str">
        <f>IFERROR(INDEX(Catalogos!$B$5:$B$9,MATCH(D7,Catalogos!$A$5:$A$9,0)),"")</f>
        <v>Resina polipropileno copolímero</v>
      </c>
      <c r="F7" s="25" t="str">
        <f>IFERROR(INDEX(Catalogos!$C$5:$C$9,MATCH(D7,Catalogos!$A$5:$A$9,0)),"")</f>
        <v>3902.10.01</v>
      </c>
      <c r="G7" s="26">
        <v>10000</v>
      </c>
      <c r="H7" s="27">
        <v>1.42</v>
      </c>
      <c r="I7" s="28">
        <f>MIN(G7,MAX(0,SUMIFS(Consumo!$I$14:$I$40,Consumo!$C$14:$C$40,D7)+SUMIFS(Salidas!$F$5:$F$40,Salidas!$D$5:$D$40,D7)-SUMIFS($G$5:$G$40,$D$5:$D$40,D7,$C$5:$C$40,"&lt;"&amp;C7)))</f>
        <v>0</v>
      </c>
      <c r="J7" s="28">
        <f t="shared" si="0"/>
        <v>10000</v>
      </c>
      <c r="K7" s="29">
        <f>EDATE(C7,INDEX(Catalogos!$E$5:$E$9,MATCH(D7,Catalogos!$A$5:$A$9,0)))</f>
        <v>46640</v>
      </c>
      <c r="L7" s="30">
        <f>K7-Parametros!$B$8</f>
        <v>325</v>
      </c>
      <c r="M7" s="31" t="str">
        <f>IF(ROUND(J7,3)&lt;=0,"Agotado",IF(L7&lt;0,"VENCIDO",IF(L7&lt;=Parametros!$B$13,"ALERTA 30",IF(L7&lt;=Parametros!$B$12,"ALERTA 60",IF(L7&lt;=Parametros!$B$11,"ALERTA 90","OK")))))</f>
        <v>OK</v>
      </c>
      <c r="N7" s="32">
        <f>J7*H7*Parametros!$B$9</f>
        <v>262700</v>
      </c>
    </row>
    <row r="8" spans="1:14" x14ac:dyDescent="0.25">
      <c r="A8" s="18" t="s">
        <v>149</v>
      </c>
      <c r="B8" s="23" t="s">
        <v>146</v>
      </c>
      <c r="C8" s="24">
        <v>46254</v>
      </c>
      <c r="D8" s="18" t="s">
        <v>99</v>
      </c>
      <c r="E8" s="25" t="str">
        <f>IFERROR(INDEX(Catalogos!$B$5:$B$9,MATCH(D8,Catalogos!$A$5:$A$9,0)),"")</f>
        <v>Resina polipropileno copolímero</v>
      </c>
      <c r="F8" s="25" t="str">
        <f>IFERROR(INDEX(Catalogos!$C$5:$C$9,MATCH(D8,Catalogos!$A$5:$A$9,0)),"")</f>
        <v>3902.10.01</v>
      </c>
      <c r="G8" s="26">
        <v>12000</v>
      </c>
      <c r="H8" s="27">
        <v>1.4</v>
      </c>
      <c r="I8" s="28">
        <f>MIN(G8,MAX(0,SUMIFS(Consumo!$I$14:$I$40,Consumo!$C$14:$C$40,D8)+SUMIFS(Salidas!$F$5:$F$40,Salidas!$D$5:$D$40,D8)-SUMIFS($G$5:$G$40,$D$5:$D$40,D8,$C$5:$C$40,"&lt;"&amp;C8)))</f>
        <v>0</v>
      </c>
      <c r="J8" s="28">
        <f t="shared" si="0"/>
        <v>12000</v>
      </c>
      <c r="K8" s="29">
        <f>EDATE(C8,INDEX(Catalogos!$E$5:$E$9,MATCH(D8,Catalogos!$A$5:$A$9,0)))</f>
        <v>46803</v>
      </c>
      <c r="L8" s="30">
        <f>K8-Parametros!$B$8</f>
        <v>488</v>
      </c>
      <c r="M8" s="31" t="str">
        <f>IF(ROUND(J8,3)&lt;=0,"Agotado",IF(L8&lt;0,"VENCIDO",IF(L8&lt;=Parametros!$B$13,"ALERTA 30",IF(L8&lt;=Parametros!$B$12,"ALERTA 60",IF(L8&lt;=Parametros!$B$11,"ALERTA 90","OK")))))</f>
        <v>OK</v>
      </c>
      <c r="N8" s="32">
        <f>J8*H8*Parametros!$B$9</f>
        <v>310800</v>
      </c>
    </row>
    <row r="9" spans="1:14" x14ac:dyDescent="0.25">
      <c r="A9" s="18" t="s">
        <v>150</v>
      </c>
      <c r="B9" s="23" t="s">
        <v>146</v>
      </c>
      <c r="C9" s="24">
        <v>45782</v>
      </c>
      <c r="D9" s="18" t="s">
        <v>105</v>
      </c>
      <c r="E9" s="25" t="str">
        <f>IFERROR(INDEX(Catalogos!$B$5:$B$9,MATCH(D9,Catalogos!$A$5:$A$9,0)),"")</f>
        <v>Resina ABS</v>
      </c>
      <c r="F9" s="25" t="str">
        <f>IFERROR(INDEX(Catalogos!$C$5:$C$9,MATCH(D9,Catalogos!$A$5:$A$9,0)),"")</f>
        <v>3903.30.01</v>
      </c>
      <c r="G9" s="26">
        <v>12500</v>
      </c>
      <c r="H9" s="27">
        <v>1.85</v>
      </c>
      <c r="I9" s="28">
        <f>MIN(G9,MAX(0,SUMIFS(Consumo!$I$14:$I$40,Consumo!$C$14:$C$40,D9)+SUMIFS(Salidas!$F$5:$F$40,Salidas!$D$5:$D$40,D9)-SUMIFS($G$5:$G$40,$D$5:$D$40,D9,$C$5:$C$40,"&lt;"&amp;C9)))</f>
        <v>11672.6</v>
      </c>
      <c r="J9" s="28">
        <f t="shared" si="0"/>
        <v>827.39999999999964</v>
      </c>
      <c r="K9" s="29">
        <f>EDATE(C9,INDEX(Catalogos!$E$5:$E$9,MATCH(D9,Catalogos!$A$5:$A$9,0)))</f>
        <v>46331</v>
      </c>
      <c r="L9" s="30">
        <f>K9-Parametros!$B$8</f>
        <v>16</v>
      </c>
      <c r="M9" s="31" t="str">
        <f>IF(ROUND(J9,3)&lt;=0,"Agotado",IF(L9&lt;0,"VENCIDO",IF(L9&lt;=Parametros!$B$13,"ALERTA 30",IF(L9&lt;=Parametros!$B$12,"ALERTA 60",IF(L9&lt;=Parametros!$B$11,"ALERTA 90","OK")))))</f>
        <v>ALERTA 30</v>
      </c>
      <c r="N9" s="32">
        <f>J9*H9*Parametros!$B$9</f>
        <v>28317.764999999989</v>
      </c>
    </row>
    <row r="10" spans="1:14" x14ac:dyDescent="0.25">
      <c r="A10" s="18" t="s">
        <v>151</v>
      </c>
      <c r="B10" s="23" t="s">
        <v>146</v>
      </c>
      <c r="C10" s="24">
        <v>45993</v>
      </c>
      <c r="D10" s="18" t="s">
        <v>105</v>
      </c>
      <c r="E10" s="25" t="str">
        <f>IFERROR(INDEX(Catalogos!$B$5:$B$9,MATCH(D10,Catalogos!$A$5:$A$9,0)),"")</f>
        <v>Resina ABS</v>
      </c>
      <c r="F10" s="25" t="str">
        <f>IFERROR(INDEX(Catalogos!$C$5:$C$9,MATCH(D10,Catalogos!$A$5:$A$9,0)),"")</f>
        <v>3903.30.01</v>
      </c>
      <c r="G10" s="26">
        <v>9000</v>
      </c>
      <c r="H10" s="27">
        <v>1.88</v>
      </c>
      <c r="I10" s="28">
        <f>MIN(G10,MAX(0,SUMIFS(Consumo!$I$14:$I$40,Consumo!$C$14:$C$40,D10)+SUMIFS(Salidas!$F$5:$F$40,Salidas!$D$5:$D$40,D10)-SUMIFS($G$5:$G$40,$D$5:$D$40,D10,$C$5:$C$40,"&lt;"&amp;C10)))</f>
        <v>0</v>
      </c>
      <c r="J10" s="28">
        <f t="shared" si="0"/>
        <v>9000</v>
      </c>
      <c r="K10" s="29">
        <f>EDATE(C10,INDEX(Catalogos!$E$5:$E$9,MATCH(D10,Catalogos!$A$5:$A$9,0)))</f>
        <v>46540</v>
      </c>
      <c r="L10" s="30">
        <f>K10-Parametros!$B$8</f>
        <v>225</v>
      </c>
      <c r="M10" s="31" t="str">
        <f>IF(ROUND(J10,3)&lt;=0,"Agotado",IF(L10&lt;0,"VENCIDO",IF(L10&lt;=Parametros!$B$13,"ALERTA 30",IF(L10&lt;=Parametros!$B$12,"ALERTA 60",IF(L10&lt;=Parametros!$B$11,"ALERTA 90","OK")))))</f>
        <v>OK</v>
      </c>
      <c r="N10" s="32">
        <f>J10*H10*Parametros!$B$9</f>
        <v>313020</v>
      </c>
    </row>
    <row r="11" spans="1:14" x14ac:dyDescent="0.25">
      <c r="A11" s="18" t="s">
        <v>152</v>
      </c>
      <c r="B11" s="23" t="s">
        <v>146</v>
      </c>
      <c r="C11" s="24">
        <v>46217</v>
      </c>
      <c r="D11" s="18" t="s">
        <v>105</v>
      </c>
      <c r="E11" s="25" t="str">
        <f>IFERROR(INDEX(Catalogos!$B$5:$B$9,MATCH(D11,Catalogos!$A$5:$A$9,0)),"")</f>
        <v>Resina ABS</v>
      </c>
      <c r="F11" s="25" t="str">
        <f>IFERROR(INDEX(Catalogos!$C$5:$C$9,MATCH(D11,Catalogos!$A$5:$A$9,0)),"")</f>
        <v>3903.30.01</v>
      </c>
      <c r="G11" s="26">
        <v>8000</v>
      </c>
      <c r="H11" s="27">
        <v>1.9</v>
      </c>
      <c r="I11" s="28">
        <f>MIN(G11,MAX(0,SUMIFS(Consumo!$I$14:$I$40,Consumo!$C$14:$C$40,D11)+SUMIFS(Salidas!$F$5:$F$40,Salidas!$D$5:$D$40,D11)-SUMIFS($G$5:$G$40,$D$5:$D$40,D11,$C$5:$C$40,"&lt;"&amp;C11)))</f>
        <v>0</v>
      </c>
      <c r="J11" s="28">
        <f t="shared" si="0"/>
        <v>8000</v>
      </c>
      <c r="K11" s="29">
        <f>EDATE(C11,INDEX(Catalogos!$E$5:$E$9,MATCH(D11,Catalogos!$A$5:$A$9,0)))</f>
        <v>46766</v>
      </c>
      <c r="L11" s="30">
        <f>K11-Parametros!$B$8</f>
        <v>451</v>
      </c>
      <c r="M11" s="31" t="str">
        <f>IF(ROUND(J11,3)&lt;=0,"Agotado",IF(L11&lt;0,"VENCIDO",IF(L11&lt;=Parametros!$B$13,"ALERTA 30",IF(L11&lt;=Parametros!$B$12,"ALERTA 60",IF(L11&lt;=Parametros!$B$11,"ALERTA 90","OK")))))</f>
        <v>OK</v>
      </c>
      <c r="N11" s="32">
        <f>J11*H11*Parametros!$B$9</f>
        <v>281200</v>
      </c>
    </row>
    <row r="12" spans="1:14" x14ac:dyDescent="0.25">
      <c r="A12" s="18" t="s">
        <v>153</v>
      </c>
      <c r="B12" s="23" t="s">
        <v>146</v>
      </c>
      <c r="C12" s="24">
        <v>45910</v>
      </c>
      <c r="D12" s="18" t="s">
        <v>109</v>
      </c>
      <c r="E12" s="25" t="str">
        <f>IFERROR(INDEX(Catalogos!$B$5:$B$9,MATCH(D12,Catalogos!$A$5:$A$9,0)),"")</f>
        <v>Masterbatch colorante</v>
      </c>
      <c r="F12" s="25" t="str">
        <f>IFERROR(INDEX(Catalogos!$C$5:$C$9,MATCH(D12,Catalogos!$A$5:$A$9,0)),"")</f>
        <v>3206.49.99</v>
      </c>
      <c r="G12" s="26">
        <v>900</v>
      </c>
      <c r="H12" s="27">
        <v>4.2</v>
      </c>
      <c r="I12" s="28">
        <f>MIN(G12,MAX(0,SUMIFS(Consumo!$I$14:$I$40,Consumo!$C$14:$C$40,D12)+SUMIFS(Salidas!$F$5:$F$40,Salidas!$D$5:$D$40,D12)-SUMIFS($G$5:$G$40,$D$5:$D$40,D12,$C$5:$C$40,"&lt;"&amp;C12)))</f>
        <v>900</v>
      </c>
      <c r="J12" s="28">
        <f t="shared" si="0"/>
        <v>0</v>
      </c>
      <c r="K12" s="29">
        <f>EDATE(C12,INDEX(Catalogos!$E$5:$E$9,MATCH(D12,Catalogos!$A$5:$A$9,0)))</f>
        <v>46456</v>
      </c>
      <c r="L12" s="30">
        <f>K12-Parametros!$B$8</f>
        <v>141</v>
      </c>
      <c r="M12" s="31" t="str">
        <f>IF(ROUND(J12,3)&lt;=0,"Agotado",IF(L12&lt;0,"VENCIDO",IF(L12&lt;=Parametros!$B$13,"ALERTA 30",IF(L12&lt;=Parametros!$B$12,"ALERTA 60",IF(L12&lt;=Parametros!$B$11,"ALERTA 90","OK")))))</f>
        <v>Agotado</v>
      </c>
      <c r="N12" s="32">
        <f>J12*H12*Parametros!$B$9</f>
        <v>0</v>
      </c>
    </row>
    <row r="13" spans="1:14" x14ac:dyDescent="0.25">
      <c r="A13" s="18" t="s">
        <v>154</v>
      </c>
      <c r="B13" s="23" t="s">
        <v>146</v>
      </c>
      <c r="C13" s="24">
        <v>46042</v>
      </c>
      <c r="D13" s="18" t="s">
        <v>109</v>
      </c>
      <c r="E13" s="25" t="str">
        <f>IFERROR(INDEX(Catalogos!$B$5:$B$9,MATCH(D13,Catalogos!$A$5:$A$9,0)),"")</f>
        <v>Masterbatch colorante</v>
      </c>
      <c r="F13" s="25" t="str">
        <f>IFERROR(INDEX(Catalogos!$C$5:$C$9,MATCH(D13,Catalogos!$A$5:$A$9,0)),"")</f>
        <v>3206.49.99</v>
      </c>
      <c r="G13" s="26">
        <v>1200</v>
      </c>
      <c r="H13" s="27">
        <v>4.25</v>
      </c>
      <c r="I13" s="28">
        <f>MIN(G13,MAX(0,SUMIFS(Consumo!$I$14:$I$40,Consumo!$C$14:$C$40,D13)+SUMIFS(Salidas!$F$5:$F$40,Salidas!$D$5:$D$40,D13)-SUMIFS($G$5:$G$40,$D$5:$D$40,D13,$C$5:$C$40,"&lt;"&amp;C13)))</f>
        <v>1200</v>
      </c>
      <c r="J13" s="28">
        <f t="shared" si="0"/>
        <v>0</v>
      </c>
      <c r="K13" s="29">
        <f>EDATE(C13,INDEX(Catalogos!$E$5:$E$9,MATCH(D13,Catalogos!$A$5:$A$9,0)))</f>
        <v>46588</v>
      </c>
      <c r="L13" s="30">
        <f>K13-Parametros!$B$8</f>
        <v>273</v>
      </c>
      <c r="M13" s="31" t="str">
        <f>IF(ROUND(J13,3)&lt;=0,"Agotado",IF(L13&lt;0,"VENCIDO",IF(L13&lt;=Parametros!$B$13,"ALERTA 30",IF(L13&lt;=Parametros!$B$12,"ALERTA 60",IF(L13&lt;=Parametros!$B$11,"ALERTA 90","OK")))))</f>
        <v>Agotado</v>
      </c>
      <c r="N13" s="32">
        <f>J13*H13*Parametros!$B$9</f>
        <v>0</v>
      </c>
    </row>
    <row r="14" spans="1:14" x14ac:dyDescent="0.25">
      <c r="A14" s="18" t="s">
        <v>155</v>
      </c>
      <c r="B14" s="23" t="s">
        <v>146</v>
      </c>
      <c r="C14" s="24">
        <v>46266</v>
      </c>
      <c r="D14" s="18" t="s">
        <v>109</v>
      </c>
      <c r="E14" s="25" t="str">
        <f>IFERROR(INDEX(Catalogos!$B$5:$B$9,MATCH(D14,Catalogos!$A$5:$A$9,0)),"")</f>
        <v>Masterbatch colorante</v>
      </c>
      <c r="F14" s="25" t="str">
        <f>IFERROR(INDEX(Catalogos!$C$5:$C$9,MATCH(D14,Catalogos!$A$5:$A$9,0)),"")</f>
        <v>3206.49.99</v>
      </c>
      <c r="G14" s="26">
        <v>800</v>
      </c>
      <c r="H14" s="27">
        <v>4.3</v>
      </c>
      <c r="I14" s="28">
        <f>MIN(G14,MAX(0,SUMIFS(Consumo!$I$14:$I$40,Consumo!$C$14:$C$40,D14)+SUMIFS(Salidas!$F$5:$F$40,Salidas!$D$5:$D$40,D14)-SUMIFS($G$5:$G$40,$D$5:$D$40,D14,$C$5:$C$40,"&lt;"&amp;C14)))</f>
        <v>800</v>
      </c>
      <c r="J14" s="28">
        <f t="shared" si="0"/>
        <v>0</v>
      </c>
      <c r="K14" s="29">
        <f>EDATE(C14,INDEX(Catalogos!$E$5:$E$9,MATCH(D14,Catalogos!$A$5:$A$9,0)))</f>
        <v>46813</v>
      </c>
      <c r="L14" s="30">
        <f>K14-Parametros!$B$8</f>
        <v>498</v>
      </c>
      <c r="M14" s="31" t="str">
        <f>IF(ROUND(J14,3)&lt;=0,"Agotado",IF(L14&lt;0,"VENCIDO",IF(L14&lt;=Parametros!$B$13,"ALERTA 30",IF(L14&lt;=Parametros!$B$12,"ALERTA 60",IF(L14&lt;=Parametros!$B$11,"ALERTA 90","OK")))))</f>
        <v>Agotado</v>
      </c>
      <c r="N14" s="32">
        <f>J14*H14*Parametros!$B$9</f>
        <v>0</v>
      </c>
    </row>
  </sheetData>
  <conditionalFormatting sqref="M5:M40">
    <cfRule type="expression" dxfId="13" priority="2">
      <formula>M5="VENCIDO"</formula>
    </cfRule>
    <cfRule type="expression" dxfId="12" priority="3">
      <formula>M5="ALERTA 30"</formula>
    </cfRule>
    <cfRule type="expression" dxfId="11" priority="4">
      <formula>M5="ALERTA 60"</formula>
    </cfRule>
    <cfRule type="expression" dxfId="10" priority="5">
      <formula>M5="ALERTA 90"</formula>
    </cfRule>
    <cfRule type="expression" dxfId="9" priority="6">
      <formula>M5="OK"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showGridLines="0" zoomScaleNormal="100" workbookViewId="0"/>
  </sheetViews>
  <sheetFormatPr baseColWidth="10" defaultColWidth="8.7109375" defaultRowHeight="15" x14ac:dyDescent="0.25"/>
  <cols>
    <col min="1" max="3" width="10" customWidth="1"/>
    <col min="4" max="4" width="12" customWidth="1"/>
    <col min="5" max="5" width="14" customWidth="1"/>
    <col min="6" max="6" width="16" customWidth="1"/>
    <col min="7" max="7" width="10" customWidth="1"/>
    <col min="8" max="8" width="14" customWidth="1"/>
    <col min="9" max="10" width="16" customWidth="1"/>
  </cols>
  <sheetData>
    <row r="1" spans="1:10" ht="15.75" x14ac:dyDescent="0.25">
      <c r="A1" s="7" t="s">
        <v>156</v>
      </c>
    </row>
    <row r="3" spans="1:10" x14ac:dyDescent="0.25">
      <c r="A3" s="17" t="s">
        <v>157</v>
      </c>
    </row>
    <row r="4" spans="1:10" ht="31.5" customHeight="1" x14ac:dyDescent="0.25">
      <c r="A4" s="4" t="s">
        <v>158</v>
      </c>
      <c r="B4" s="4" t="s">
        <v>96</v>
      </c>
      <c r="C4" s="4" t="s">
        <v>159</v>
      </c>
      <c r="D4" s="4" t="s">
        <v>160</v>
      </c>
    </row>
    <row r="5" spans="1:10" x14ac:dyDescent="0.25">
      <c r="A5" s="23" t="s">
        <v>161</v>
      </c>
      <c r="B5" s="18" t="s">
        <v>104</v>
      </c>
      <c r="C5" s="33">
        <v>400000</v>
      </c>
      <c r="D5" s="34">
        <v>0.02</v>
      </c>
    </row>
    <row r="6" spans="1:10" x14ac:dyDescent="0.25">
      <c r="A6" s="23" t="s">
        <v>161</v>
      </c>
      <c r="B6" s="18" t="s">
        <v>112</v>
      </c>
      <c r="C6" s="33">
        <v>60000</v>
      </c>
      <c r="D6" s="34">
        <v>2.5000000000000001E-2</v>
      </c>
    </row>
    <row r="7" spans="1:10" x14ac:dyDescent="0.25">
      <c r="A7" s="23" t="s">
        <v>162</v>
      </c>
      <c r="B7" s="18" t="s">
        <v>104</v>
      </c>
      <c r="C7" s="33">
        <v>420000</v>
      </c>
      <c r="D7" s="34">
        <v>2.1999999999999999E-2</v>
      </c>
    </row>
    <row r="8" spans="1:10" x14ac:dyDescent="0.25">
      <c r="A8" s="23" t="s">
        <v>162</v>
      </c>
      <c r="B8" s="18" t="s">
        <v>112</v>
      </c>
      <c r="C8" s="33">
        <v>70000</v>
      </c>
      <c r="D8" s="34">
        <v>5.8000000000000003E-2</v>
      </c>
    </row>
    <row r="11" spans="1:10" x14ac:dyDescent="0.25">
      <c r="A11" s="17" t="s">
        <v>163</v>
      </c>
    </row>
    <row r="12" spans="1:10" x14ac:dyDescent="0.25">
      <c r="A12" s="21" t="s">
        <v>164</v>
      </c>
    </row>
    <row r="13" spans="1:10" ht="31.5" customHeight="1" x14ac:dyDescent="0.25">
      <c r="A13" s="4" t="s">
        <v>158</v>
      </c>
      <c r="B13" s="4" t="s">
        <v>96</v>
      </c>
      <c r="C13" s="4" t="s">
        <v>97</v>
      </c>
      <c r="D13" s="4" t="s">
        <v>165</v>
      </c>
      <c r="E13" s="4" t="s">
        <v>166</v>
      </c>
      <c r="F13" s="4" t="s">
        <v>167</v>
      </c>
      <c r="G13" s="4" t="s">
        <v>168</v>
      </c>
      <c r="H13" s="4" t="s">
        <v>169</v>
      </c>
      <c r="I13" s="4" t="s">
        <v>170</v>
      </c>
      <c r="J13" s="4" t="s">
        <v>171</v>
      </c>
    </row>
    <row r="14" spans="1:10" x14ac:dyDescent="0.25">
      <c r="A14" s="31" t="str">
        <f>A5</f>
        <v>2026-08</v>
      </c>
      <c r="B14" s="25" t="str">
        <f>B5</f>
        <v>PT-001</v>
      </c>
      <c r="C14" s="25" t="str">
        <f>Catalogos!I5</f>
        <v>MP-001</v>
      </c>
      <c r="D14" s="35">
        <f>C5</f>
        <v>400000</v>
      </c>
      <c r="E14" s="36">
        <f>Catalogos!J5</f>
        <v>2.8000000000000001E-2</v>
      </c>
      <c r="F14" s="28">
        <f t="shared" ref="F14:F21" si="0">D14*E14</f>
        <v>11200</v>
      </c>
      <c r="G14" s="37">
        <f>D5</f>
        <v>0.02</v>
      </c>
      <c r="H14" s="28">
        <f t="shared" ref="H14:H21" si="1">F14*G14</f>
        <v>224</v>
      </c>
      <c r="I14" s="28">
        <f t="shared" ref="I14:I21" si="2">F14+H14</f>
        <v>11424</v>
      </c>
      <c r="J14" s="31" t="str">
        <f>IF(G14&gt;Parametros!$B$10,"MERMA EXCEDE","OK")</f>
        <v>OK</v>
      </c>
    </row>
    <row r="15" spans="1:10" x14ac:dyDescent="0.25">
      <c r="A15" s="31" t="str">
        <f>A5</f>
        <v>2026-08</v>
      </c>
      <c r="B15" s="25" t="str">
        <f>B5</f>
        <v>PT-001</v>
      </c>
      <c r="C15" s="25" t="str">
        <f>Catalogos!I6</f>
        <v>MP-003</v>
      </c>
      <c r="D15" s="35">
        <f>C5</f>
        <v>400000</v>
      </c>
      <c r="E15" s="36">
        <f>Catalogos!J6</f>
        <v>5.9999999999999995E-4</v>
      </c>
      <c r="F15" s="28">
        <f t="shared" si="0"/>
        <v>239.99999999999997</v>
      </c>
      <c r="G15" s="37">
        <f>D5</f>
        <v>0.02</v>
      </c>
      <c r="H15" s="28">
        <f t="shared" si="1"/>
        <v>4.8</v>
      </c>
      <c r="I15" s="28">
        <f t="shared" si="2"/>
        <v>244.79999999999998</v>
      </c>
      <c r="J15" s="31" t="str">
        <f>IF(G15&gt;Parametros!$B$10,"MERMA EXCEDE","OK")</f>
        <v>OK</v>
      </c>
    </row>
    <row r="16" spans="1:10" x14ac:dyDescent="0.25">
      <c r="A16" s="31" t="str">
        <f>A6</f>
        <v>2026-08</v>
      </c>
      <c r="B16" s="25" t="str">
        <f>B6</f>
        <v>PT-002</v>
      </c>
      <c r="C16" s="25" t="str">
        <f>Catalogos!I7</f>
        <v>MP-002</v>
      </c>
      <c r="D16" s="35">
        <f>C6</f>
        <v>60000</v>
      </c>
      <c r="E16" s="36">
        <f>Catalogos!J7</f>
        <v>8.5000000000000006E-2</v>
      </c>
      <c r="F16" s="28">
        <f t="shared" si="0"/>
        <v>5100</v>
      </c>
      <c r="G16" s="37">
        <f>D6</f>
        <v>2.5000000000000001E-2</v>
      </c>
      <c r="H16" s="28">
        <f t="shared" si="1"/>
        <v>127.5</v>
      </c>
      <c r="I16" s="28">
        <f t="shared" si="2"/>
        <v>5227.5</v>
      </c>
      <c r="J16" s="31" t="str">
        <f>IF(G16&gt;Parametros!$B$10,"MERMA EXCEDE","OK")</f>
        <v>OK</v>
      </c>
    </row>
    <row r="17" spans="1:10" x14ac:dyDescent="0.25">
      <c r="A17" s="31" t="str">
        <f>A6</f>
        <v>2026-08</v>
      </c>
      <c r="B17" s="25" t="str">
        <f>B6</f>
        <v>PT-002</v>
      </c>
      <c r="C17" s="25" t="str">
        <f>Catalogos!I8</f>
        <v>MP-003</v>
      </c>
      <c r="D17" s="35">
        <f>C6</f>
        <v>60000</v>
      </c>
      <c r="E17" s="36">
        <f>Catalogos!J8</f>
        <v>1.6999999999999999E-3</v>
      </c>
      <c r="F17" s="28">
        <f t="shared" si="0"/>
        <v>102</v>
      </c>
      <c r="G17" s="37">
        <f>D6</f>
        <v>2.5000000000000001E-2</v>
      </c>
      <c r="H17" s="28">
        <f t="shared" si="1"/>
        <v>2.5500000000000003</v>
      </c>
      <c r="I17" s="28">
        <f t="shared" si="2"/>
        <v>104.55</v>
      </c>
      <c r="J17" s="31" t="str">
        <f>IF(G17&gt;Parametros!$B$10,"MERMA EXCEDE","OK")</f>
        <v>OK</v>
      </c>
    </row>
    <row r="18" spans="1:10" x14ac:dyDescent="0.25">
      <c r="A18" s="31" t="str">
        <f>A7</f>
        <v>2026-09</v>
      </c>
      <c r="B18" s="25" t="str">
        <f>B7</f>
        <v>PT-001</v>
      </c>
      <c r="C18" s="25" t="str">
        <f>Catalogos!I5</f>
        <v>MP-001</v>
      </c>
      <c r="D18" s="35">
        <f>C7</f>
        <v>420000</v>
      </c>
      <c r="E18" s="36">
        <f>Catalogos!J5</f>
        <v>2.8000000000000001E-2</v>
      </c>
      <c r="F18" s="28">
        <f t="shared" si="0"/>
        <v>11760</v>
      </c>
      <c r="G18" s="37">
        <f>D7</f>
        <v>2.1999999999999999E-2</v>
      </c>
      <c r="H18" s="28">
        <f t="shared" si="1"/>
        <v>258.71999999999997</v>
      </c>
      <c r="I18" s="28">
        <f t="shared" si="2"/>
        <v>12018.72</v>
      </c>
      <c r="J18" s="31" t="str">
        <f>IF(G18&gt;Parametros!$B$10,"MERMA EXCEDE","OK")</f>
        <v>OK</v>
      </c>
    </row>
    <row r="19" spans="1:10" x14ac:dyDescent="0.25">
      <c r="A19" s="31" t="str">
        <f>A7</f>
        <v>2026-09</v>
      </c>
      <c r="B19" s="25" t="str">
        <f>B7</f>
        <v>PT-001</v>
      </c>
      <c r="C19" s="25" t="str">
        <f>Catalogos!I6</f>
        <v>MP-003</v>
      </c>
      <c r="D19" s="35">
        <f>C7</f>
        <v>420000</v>
      </c>
      <c r="E19" s="36">
        <f>Catalogos!J6</f>
        <v>5.9999999999999995E-4</v>
      </c>
      <c r="F19" s="28">
        <f t="shared" si="0"/>
        <v>251.99999999999997</v>
      </c>
      <c r="G19" s="37">
        <f>D7</f>
        <v>2.1999999999999999E-2</v>
      </c>
      <c r="H19" s="28">
        <f t="shared" si="1"/>
        <v>5.5439999999999987</v>
      </c>
      <c r="I19" s="28">
        <f t="shared" si="2"/>
        <v>257.54399999999998</v>
      </c>
      <c r="J19" s="31" t="str">
        <f>IF(G19&gt;Parametros!$B$10,"MERMA EXCEDE","OK")</f>
        <v>OK</v>
      </c>
    </row>
    <row r="20" spans="1:10" x14ac:dyDescent="0.25">
      <c r="A20" s="31" t="str">
        <f>A8</f>
        <v>2026-09</v>
      </c>
      <c r="B20" s="25" t="str">
        <f>B8</f>
        <v>PT-002</v>
      </c>
      <c r="C20" s="25" t="str">
        <f>Catalogos!I7</f>
        <v>MP-002</v>
      </c>
      <c r="D20" s="35">
        <f>C8</f>
        <v>70000</v>
      </c>
      <c r="E20" s="36">
        <f>Catalogos!J7</f>
        <v>8.5000000000000006E-2</v>
      </c>
      <c r="F20" s="28">
        <f t="shared" si="0"/>
        <v>5950</v>
      </c>
      <c r="G20" s="37">
        <f>D8</f>
        <v>5.8000000000000003E-2</v>
      </c>
      <c r="H20" s="28">
        <f t="shared" si="1"/>
        <v>345.1</v>
      </c>
      <c r="I20" s="28">
        <f t="shared" si="2"/>
        <v>6295.1</v>
      </c>
      <c r="J20" s="31" t="str">
        <f>IF(G20&gt;Parametros!$B$10,"MERMA EXCEDE","OK")</f>
        <v>MERMA EXCEDE</v>
      </c>
    </row>
    <row r="21" spans="1:10" x14ac:dyDescent="0.25">
      <c r="A21" s="31" t="str">
        <f>A8</f>
        <v>2026-09</v>
      </c>
      <c r="B21" s="25" t="str">
        <f>B8</f>
        <v>PT-002</v>
      </c>
      <c r="C21" s="25" t="str">
        <f>Catalogos!I8</f>
        <v>MP-003</v>
      </c>
      <c r="D21" s="35">
        <f>C8</f>
        <v>70000</v>
      </c>
      <c r="E21" s="36">
        <f>Catalogos!J8</f>
        <v>1.6999999999999999E-3</v>
      </c>
      <c r="F21" s="28">
        <f t="shared" si="0"/>
        <v>119</v>
      </c>
      <c r="G21" s="37">
        <f>D8</f>
        <v>5.8000000000000003E-2</v>
      </c>
      <c r="H21" s="28">
        <f t="shared" si="1"/>
        <v>6.9020000000000001</v>
      </c>
      <c r="I21" s="28">
        <f t="shared" si="2"/>
        <v>125.902</v>
      </c>
      <c r="J21" s="31" t="str">
        <f>IF(G21&gt;Parametros!$B$10,"MERMA EXCEDE","OK")</f>
        <v>MERMA EXCEDE</v>
      </c>
    </row>
  </sheetData>
  <conditionalFormatting sqref="J14:J40">
    <cfRule type="expression" dxfId="8" priority="2">
      <formula>ISNUMBER(SEARCH("FALTANTE",J14))</formula>
    </cfRule>
    <cfRule type="expression" dxfId="7" priority="3">
      <formula>ISNUMBER(SEARCH("EXCEDE",J14))</formula>
    </cfRule>
    <cfRule type="expression" dxfId="6" priority="4">
      <formula>J14="OK"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showGridLines="0" zoomScaleNormal="100" workbookViewId="0"/>
  </sheetViews>
  <sheetFormatPr baseColWidth="10" defaultColWidth="8.7109375" defaultRowHeight="15" x14ac:dyDescent="0.25"/>
  <cols>
    <col min="1" max="1" width="24" customWidth="1"/>
    <col min="2" max="2" width="7" customWidth="1"/>
    <col min="3" max="3" width="13" customWidth="1"/>
    <col min="4" max="4" width="10" customWidth="1"/>
    <col min="5" max="6" width="14" customWidth="1"/>
    <col min="7" max="7" width="62" customWidth="1"/>
  </cols>
  <sheetData>
    <row r="1" spans="1:7" ht="15.75" x14ac:dyDescent="0.25">
      <c r="A1" s="7" t="s">
        <v>172</v>
      </c>
    </row>
    <row r="2" spans="1:7" x14ac:dyDescent="0.25">
      <c r="A2" s="8" t="s">
        <v>173</v>
      </c>
    </row>
    <row r="4" spans="1:7" ht="31.5" customHeight="1" x14ac:dyDescent="0.25">
      <c r="A4" s="4" t="s">
        <v>133</v>
      </c>
      <c r="B4" s="4" t="s">
        <v>90</v>
      </c>
      <c r="C4" s="4" t="s">
        <v>174</v>
      </c>
      <c r="D4" s="4" t="s">
        <v>97</v>
      </c>
      <c r="E4" s="4" t="s">
        <v>53</v>
      </c>
      <c r="F4" s="4" t="s">
        <v>175</v>
      </c>
      <c r="G4" s="4" t="s">
        <v>176</v>
      </c>
    </row>
    <row r="5" spans="1:7" x14ac:dyDescent="0.25">
      <c r="A5" s="18" t="s">
        <v>177</v>
      </c>
      <c r="B5" s="18" t="s">
        <v>178</v>
      </c>
      <c r="C5" s="24">
        <v>46293</v>
      </c>
      <c r="D5" s="18" t="s">
        <v>99</v>
      </c>
      <c r="E5" s="18" t="s">
        <v>179</v>
      </c>
      <c r="F5" s="26">
        <v>500</v>
      </c>
      <c r="G5" s="18" t="s">
        <v>180</v>
      </c>
    </row>
    <row r="6" spans="1:7" x14ac:dyDescent="0.25">
      <c r="A6" s="18" t="s">
        <v>181</v>
      </c>
      <c r="B6" s="18" t="s">
        <v>182</v>
      </c>
      <c r="C6" s="24">
        <v>46295</v>
      </c>
      <c r="D6" s="18" t="s">
        <v>105</v>
      </c>
      <c r="E6" s="18" t="s">
        <v>183</v>
      </c>
      <c r="F6" s="26">
        <v>150</v>
      </c>
      <c r="G6" s="18" t="s">
        <v>184</v>
      </c>
    </row>
    <row r="7" spans="1:7" x14ac:dyDescent="0.25">
      <c r="A7" s="18" t="s">
        <v>185</v>
      </c>
      <c r="B7" s="18" t="s">
        <v>178</v>
      </c>
      <c r="C7" s="24">
        <v>46300</v>
      </c>
      <c r="D7" s="18" t="s">
        <v>109</v>
      </c>
      <c r="E7" s="18" t="s">
        <v>179</v>
      </c>
      <c r="F7" s="26">
        <v>2500</v>
      </c>
      <c r="G7" s="18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20" customWidth="1"/>
    <col min="3" max="4" width="22" customWidth="1"/>
    <col min="5" max="6" width="18" customWidth="1"/>
    <col min="7" max="7" width="48" customWidth="1"/>
  </cols>
  <sheetData>
    <row r="1" spans="1:7" ht="18" x14ac:dyDescent="0.25">
      <c r="A1" s="38" t="s">
        <v>187</v>
      </c>
    </row>
    <row r="2" spans="1:7" x14ac:dyDescent="0.25">
      <c r="A2" s="17" t="str">
        <f>Parametros!B4</f>
        <v>Plásticos Ejemplo, S.A. de C.V.</v>
      </c>
      <c r="C2" s="39" t="s">
        <v>188</v>
      </c>
      <c r="D2" s="40">
        <f>Parametros!$B$8</f>
        <v>46315</v>
      </c>
    </row>
    <row r="4" spans="1:7" ht="27.75" customHeight="1" x14ac:dyDescent="0.25">
      <c r="A4" s="41" t="s">
        <v>189</v>
      </c>
      <c r="C4" s="41" t="s">
        <v>190</v>
      </c>
      <c r="E4" s="41" t="s">
        <v>191</v>
      </c>
      <c r="G4" s="41" t="s">
        <v>192</v>
      </c>
    </row>
    <row r="5" spans="1:7" ht="18" x14ac:dyDescent="0.25">
      <c r="A5" s="42">
        <f>SUM(Entradas!$N$5:$N$40)</f>
        <v>1592905.8330000001</v>
      </c>
      <c r="C5" s="42">
        <f>SUMIFS(Entradas!$N$5:$N$40,Entradas!$L$5:$L$40,"&lt;="&amp;Parametros!$B$11,Entradas!$J$5:$J$40,"&gt;0.001")</f>
        <v>425185.83299999998</v>
      </c>
      <c r="E5" s="43">
        <f>COUNTIFS(Entradas!$L$5:$L$40,"&lt;="&amp;Parametros!$B$11,Entradas!$J$5:$J$40,"&gt;0.001")</f>
        <v>3</v>
      </c>
      <c r="G5" s="44">
        <f>SUM(F17:F19)</f>
        <v>332.79600000000028</v>
      </c>
    </row>
    <row r="7" spans="1:7" x14ac:dyDescent="0.25">
      <c r="A7" s="45" t="s">
        <v>193</v>
      </c>
    </row>
    <row r="8" spans="1:7" ht="31.5" customHeight="1" x14ac:dyDescent="0.25">
      <c r="A8" s="4" t="s">
        <v>194</v>
      </c>
      <c r="B8" s="4" t="s">
        <v>195</v>
      </c>
      <c r="C8" s="4" t="s">
        <v>140</v>
      </c>
      <c r="D8" s="4" t="s">
        <v>196</v>
      </c>
      <c r="E8" s="4" t="s">
        <v>197</v>
      </c>
    </row>
    <row r="9" spans="1:7" x14ac:dyDescent="0.25">
      <c r="A9" s="25" t="s">
        <v>198</v>
      </c>
      <c r="B9" s="46">
        <f>COUNTIFS(Entradas!$L$5:$L$40,"&lt;0",Entradas!$J$5:$J$40,"&gt;0.001")</f>
        <v>0</v>
      </c>
      <c r="C9" s="28">
        <f>SUMIFS(Entradas!$J$5:$J$40,Entradas!$L$5:$L$40,"&lt;0",Entradas!$J$5:$J$40,"&gt;0.001")</f>
        <v>0</v>
      </c>
      <c r="D9" s="32">
        <f>SUMIFS(Entradas!$N$5:$N$40,Entradas!$L$5:$L$40,"&lt;0",Entradas!$J$5:$J$40,"&gt;0.001")</f>
        <v>0</v>
      </c>
      <c r="E9" s="47" t="s">
        <v>199</v>
      </c>
    </row>
    <row r="10" spans="1:7" x14ac:dyDescent="0.25">
      <c r="A10" s="25" t="str">
        <f>"0 a "&amp;Parametros!$B$13&amp;" días"</f>
        <v>0 a 30 días</v>
      </c>
      <c r="B10" s="46">
        <f>COUNTIFS(Entradas!$L$5:$L$40,"&gt;=0",Entradas!$L$5:$L$40,"&lt;="&amp;Parametros!$B$13,Entradas!$J$5:$J$40,"&gt;0.001")</f>
        <v>1</v>
      </c>
      <c r="C10" s="28">
        <f>SUMIFS(Entradas!$J$5:$J$40,Entradas!$L$5:$L$40,"&gt;=0",Entradas!$L$5:$L$40,"&lt;="&amp;Parametros!$B$13,Entradas!$J$5:$J$40,"&gt;0.001")</f>
        <v>827.39999999999964</v>
      </c>
      <c r="D10" s="32">
        <f>SUMIFS(Entradas!$N$5:$N$40,Entradas!$L$5:$L$40,"&gt;=0",Entradas!$L$5:$L$40,"&lt;="&amp;Parametros!$B$13,Entradas!$J$5:$J$40,"&gt;0.001")</f>
        <v>28317.764999999989</v>
      </c>
      <c r="E10" s="47" t="s">
        <v>200</v>
      </c>
    </row>
    <row r="11" spans="1:7" x14ac:dyDescent="0.25">
      <c r="A11" s="25" t="str">
        <f>(Parametros!$B$13+1)&amp;" a "&amp;Parametros!$B$12&amp;" días"</f>
        <v>31 a 60 días</v>
      </c>
      <c r="B11" s="46">
        <f>COUNTIFS(Entradas!$L$5:$L$40,"&gt;"&amp;Parametros!$B$13,Entradas!$L$5:$L$40,"&lt;="&amp;Parametros!$B$12,Entradas!$J$5:$J$40,"&gt;0.001")</f>
        <v>1</v>
      </c>
      <c r="C11" s="28">
        <f>SUMIFS(Entradas!$J$5:$J$40,Entradas!$L$5:$L$40,"&gt;"&amp;Parametros!$B$13,Entradas!$L$5:$L$40,"&lt;="&amp;Parametros!$B$12,Entradas!$J$5:$J$40,"&gt;0.001")</f>
        <v>557.27999999999884</v>
      </c>
      <c r="D11" s="32">
        <f>SUMIFS(Entradas!$N$5:$N$40,Entradas!$L$5:$L$40,"&gt;"&amp;Parametros!$B$13,Entradas!$L$5:$L$40,"&lt;="&amp;Parametros!$B$12,Entradas!$J$5:$J$40,"&gt;0.001")</f>
        <v>13918.067999999972</v>
      </c>
      <c r="E11" s="48" t="s">
        <v>201</v>
      </c>
    </row>
    <row r="12" spans="1:7" x14ac:dyDescent="0.25">
      <c r="A12" s="25" t="str">
        <f>(Parametros!$B$12+1)&amp;" a "&amp;Parametros!$B$11&amp;" días"</f>
        <v>61 a 90 días</v>
      </c>
      <c r="B12" s="46">
        <f>COUNTIFS(Entradas!$L$5:$L$40,"&gt;"&amp;Parametros!$B$12,Entradas!$L$5:$L$40,"&lt;="&amp;Parametros!$B$11,Entradas!$J$5:$J$40,"&gt;0.001")</f>
        <v>1</v>
      </c>
      <c r="C12" s="28">
        <f>SUMIFS(Entradas!$J$5:$J$40,Entradas!$L$5:$L$40,"&gt;"&amp;Parametros!$B$12,Entradas!$L$5:$L$40,"&lt;="&amp;Parametros!$B$11,Entradas!$J$5:$J$40,"&gt;0.001")</f>
        <v>15000</v>
      </c>
      <c r="D12" s="32">
        <f>SUMIFS(Entradas!$N$5:$N$40,Entradas!$L$5:$L$40,"&gt;"&amp;Parametros!$B$12,Entradas!$L$5:$L$40,"&lt;="&amp;Parametros!$B$11,Entradas!$J$5:$J$40,"&gt;0.001")</f>
        <v>382950</v>
      </c>
      <c r="E12" s="49" t="s">
        <v>202</v>
      </c>
    </row>
    <row r="13" spans="1:7" x14ac:dyDescent="0.25">
      <c r="A13" s="25" t="str">
        <f>"Más de "&amp;Parametros!$B$11&amp;" días"</f>
        <v>Más de 90 días</v>
      </c>
      <c r="B13" s="46">
        <f>COUNTIFS(Entradas!$L$5:$L$40,"&gt;"&amp;Parametros!$B$11,Entradas!$J$5:$J$40,"&gt;0.001")</f>
        <v>4</v>
      </c>
      <c r="C13" s="28">
        <f>SUMIFS(Entradas!$J$5:$J$40,Entradas!$L$5:$L$40,"&gt;"&amp;Parametros!$B$11,Entradas!$J$5:$J$40,"&gt;0.001")</f>
        <v>39000</v>
      </c>
      <c r="D13" s="32">
        <f>SUMIFS(Entradas!$N$5:$N$40,Entradas!$L$5:$L$40,"&gt;"&amp;Parametros!$B$11,Entradas!$J$5:$J$40,"&gt;0.001")</f>
        <v>1167720</v>
      </c>
      <c r="E13" s="50" t="s">
        <v>203</v>
      </c>
    </row>
    <row r="14" spans="1:7" x14ac:dyDescent="0.25">
      <c r="A14" s="51" t="s">
        <v>204</v>
      </c>
      <c r="B14" s="52">
        <f>SUM(B9:B13)</f>
        <v>7</v>
      </c>
      <c r="C14" s="53">
        <f>SUM(C9:C13)</f>
        <v>55384.68</v>
      </c>
      <c r="D14" s="54">
        <f>SUM(D9:D13)</f>
        <v>1592905.8330000001</v>
      </c>
    </row>
    <row r="15" spans="1:7" x14ac:dyDescent="0.25">
      <c r="A15" s="45" t="s">
        <v>205</v>
      </c>
    </row>
    <row r="16" spans="1:7" ht="31.5" customHeight="1" x14ac:dyDescent="0.25">
      <c r="A16" s="4" t="s">
        <v>97</v>
      </c>
      <c r="B16" s="4" t="s">
        <v>206</v>
      </c>
      <c r="C16" s="4" t="s">
        <v>207</v>
      </c>
      <c r="D16" s="4" t="s">
        <v>139</v>
      </c>
      <c r="E16" s="4" t="s">
        <v>140</v>
      </c>
      <c r="F16" s="4" t="s">
        <v>208</v>
      </c>
      <c r="G16" s="4" t="s">
        <v>209</v>
      </c>
    </row>
    <row r="17" spans="1:7" x14ac:dyDescent="0.25">
      <c r="A17" s="25" t="str">
        <f>Catalogos!A5</f>
        <v>MP-001</v>
      </c>
      <c r="B17" s="28">
        <f>SUMIFS(Entradas!$G$5:$G$40,Entradas!$D$5:$D$40,A17)</f>
        <v>61500</v>
      </c>
      <c r="C17" s="28">
        <f>SUMIFS(Consumo!$I$14:$I$40,Consumo!$C$14:$C$40,A17)+SUMIFS(Salidas!$F$5:$F$40,Salidas!$D$5:$D$40,A17)</f>
        <v>23942.720000000001</v>
      </c>
      <c r="D17" s="28">
        <f>SUMIFS(Entradas!$I$5:$I$40,Entradas!$D$5:$D$40,A17)</f>
        <v>23942.720000000001</v>
      </c>
      <c r="E17" s="28">
        <f>B17-D17</f>
        <v>37557.279999999999</v>
      </c>
      <c r="F17" s="28">
        <f>C17-D17</f>
        <v>0</v>
      </c>
      <c r="G17" s="25" t="str">
        <f>IF(F17&gt;0.001,"FALTANTE: salidas y consumo exceden lo importado","OK")</f>
        <v>OK</v>
      </c>
    </row>
    <row r="18" spans="1:7" x14ac:dyDescent="0.25">
      <c r="A18" s="25" t="str">
        <f>Catalogos!A6</f>
        <v>MP-002</v>
      </c>
      <c r="B18" s="28">
        <f>SUMIFS(Entradas!$G$5:$G$40,Entradas!$D$5:$D$40,A18)</f>
        <v>29500</v>
      </c>
      <c r="C18" s="28">
        <f>SUMIFS(Consumo!$I$14:$I$40,Consumo!$C$14:$C$40,A18)+SUMIFS(Salidas!$F$5:$F$40,Salidas!$D$5:$D$40,A18)</f>
        <v>11672.6</v>
      </c>
      <c r="D18" s="28">
        <f>SUMIFS(Entradas!$I$5:$I$40,Entradas!$D$5:$D$40,A18)</f>
        <v>11672.6</v>
      </c>
      <c r="E18" s="28">
        <f>B18-D18</f>
        <v>17827.400000000001</v>
      </c>
      <c r="F18" s="28">
        <f>C18-D18</f>
        <v>0</v>
      </c>
      <c r="G18" s="25" t="str">
        <f>IF(F18&gt;0.001,"FALTANTE: salidas y consumo exceden lo importado","OK")</f>
        <v>OK</v>
      </c>
    </row>
    <row r="19" spans="1:7" x14ac:dyDescent="0.25">
      <c r="A19" s="25" t="str">
        <f>Catalogos!A7</f>
        <v>MP-003</v>
      </c>
      <c r="B19" s="28">
        <f>SUMIFS(Entradas!$G$5:$G$40,Entradas!$D$5:$D$40,A19)</f>
        <v>2900</v>
      </c>
      <c r="C19" s="28">
        <f>SUMIFS(Consumo!$I$14:$I$40,Consumo!$C$14:$C$40,A19)+SUMIFS(Salidas!$F$5:$F$40,Salidas!$D$5:$D$40,A19)</f>
        <v>3232.7960000000003</v>
      </c>
      <c r="D19" s="28">
        <f>SUMIFS(Entradas!$I$5:$I$40,Entradas!$D$5:$D$40,A19)</f>
        <v>2900</v>
      </c>
      <c r="E19" s="28">
        <f>B19-D19</f>
        <v>0</v>
      </c>
      <c r="F19" s="28">
        <f>C19-D19</f>
        <v>332.79600000000028</v>
      </c>
      <c r="G19" s="25" t="str">
        <f>IF(F19&gt;0.001,"FALTANTE: salidas y consumo exceden lo importado","OK")</f>
        <v>FALTANTE: salidas y consumo exceden lo importado</v>
      </c>
    </row>
    <row r="21" spans="1:7" x14ac:dyDescent="0.25">
      <c r="A21" s="45" t="s">
        <v>210</v>
      </c>
    </row>
    <row r="22" spans="1:7" ht="31.5" customHeight="1" x14ac:dyDescent="0.25">
      <c r="A22" s="4" t="s">
        <v>97</v>
      </c>
      <c r="B22" s="4" t="s">
        <v>167</v>
      </c>
      <c r="C22" s="4" t="s">
        <v>169</v>
      </c>
      <c r="D22" s="4" t="s">
        <v>168</v>
      </c>
      <c r="E22" s="4" t="s">
        <v>211</v>
      </c>
      <c r="F22" s="4" t="s">
        <v>209</v>
      </c>
    </row>
    <row r="23" spans="1:7" x14ac:dyDescent="0.25">
      <c r="A23" s="25" t="str">
        <f>Catalogos!A5</f>
        <v>MP-001</v>
      </c>
      <c r="B23" s="28">
        <f>SUMIFS(Consumo!$F$14:$F$40,Consumo!$C$14:$C$40,A23)</f>
        <v>22960</v>
      </c>
      <c r="C23" s="28">
        <f>SUMIFS(Consumo!$H$14:$H$40,Consumo!$C$14:$C$40,A23)</f>
        <v>482.71999999999997</v>
      </c>
      <c r="D23" s="37">
        <f>IF(B23=0,0,C23/B23)</f>
        <v>2.1024390243902437E-2</v>
      </c>
      <c r="E23" s="37">
        <f>Parametros!$B$10</f>
        <v>0.03</v>
      </c>
      <c r="F23" s="25" t="str">
        <f>IF(D23&gt;E23,"MERMA EXCEDE","OK")</f>
        <v>OK</v>
      </c>
    </row>
    <row r="24" spans="1:7" x14ac:dyDescent="0.25">
      <c r="A24" s="25" t="str">
        <f>Catalogos!A6</f>
        <v>MP-002</v>
      </c>
      <c r="B24" s="28">
        <f>SUMIFS(Consumo!$F$14:$F$40,Consumo!$C$14:$C$40,A24)</f>
        <v>11050</v>
      </c>
      <c r="C24" s="28">
        <f>SUMIFS(Consumo!$H$14:$H$40,Consumo!$C$14:$C$40,A24)</f>
        <v>472.6</v>
      </c>
      <c r="D24" s="37">
        <f>IF(B24=0,0,C24/B24)</f>
        <v>4.2769230769230775E-2</v>
      </c>
      <c r="E24" s="37">
        <f>Parametros!$B$10</f>
        <v>0.03</v>
      </c>
      <c r="F24" s="25" t="str">
        <f>IF(D24&gt;E24,"MERMA EXCEDE","OK")</f>
        <v>MERMA EXCEDE</v>
      </c>
    </row>
    <row r="25" spans="1:7" x14ac:dyDescent="0.25">
      <c r="A25" s="25" t="str">
        <f>Catalogos!A7</f>
        <v>MP-003</v>
      </c>
      <c r="B25" s="28">
        <f>SUMIFS(Consumo!$F$14:$F$40,Consumo!$C$14:$C$40,A25)</f>
        <v>713</v>
      </c>
      <c r="C25" s="28">
        <f>SUMIFS(Consumo!$H$14:$H$40,Consumo!$C$14:$C$40,A25)</f>
        <v>19.795999999999999</v>
      </c>
      <c r="D25" s="37">
        <f>IF(B25=0,0,C25/B25)</f>
        <v>2.7764375876577839E-2</v>
      </c>
      <c r="E25" s="37">
        <f>Parametros!$B$10</f>
        <v>0.03</v>
      </c>
      <c r="F25" s="25" t="str">
        <f>IF(D25&gt;E25,"MERMA EXCEDE","OK")</f>
        <v>OK</v>
      </c>
    </row>
    <row r="27" spans="1:7" x14ac:dyDescent="0.25">
      <c r="A27" s="45" t="s">
        <v>212</v>
      </c>
    </row>
    <row r="28" spans="1:7" x14ac:dyDescent="0.25">
      <c r="A28" s="8" t="s">
        <v>213</v>
      </c>
      <c r="E28" s="55">
        <f>Parametros!$B$14</f>
        <v>27070</v>
      </c>
      <c r="F28" s="55">
        <f>Parametros!$B$15</f>
        <v>54180</v>
      </c>
    </row>
    <row r="29" spans="1:7" x14ac:dyDescent="0.25">
      <c r="A29" s="21" t="s">
        <v>214</v>
      </c>
    </row>
  </sheetData>
  <conditionalFormatting sqref="F23:F25">
    <cfRule type="expression" dxfId="5" priority="5">
      <formula>ISNUMBER(SEARCH("FALTANTE",F23))</formula>
    </cfRule>
    <cfRule type="expression" dxfId="4" priority="6">
      <formula>ISNUMBER(SEARCH("EXCEDE",F23))</formula>
    </cfRule>
    <cfRule type="expression" dxfId="3" priority="7">
      <formula>F23="OK"</formula>
    </cfRule>
  </conditionalFormatting>
  <conditionalFormatting sqref="G17:G19">
    <cfRule type="expression" dxfId="2" priority="2">
      <formula>ISNUMBER(SEARCH("FALTANTE",G17))</formula>
    </cfRule>
    <cfRule type="expression" dxfId="1" priority="3">
      <formula>ISNUMBER(SEARCH("EXCEDE",G17))</formula>
    </cfRule>
    <cfRule type="expression" dxfId="0" priority="4">
      <formula>G17="OK"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22" customWidth="1"/>
    <col min="3" max="3" width="16" customWidth="1"/>
    <col min="4" max="4" width="18" customWidth="1"/>
    <col min="5" max="5" width="22" customWidth="1"/>
    <col min="6" max="6" width="16" customWidth="1"/>
    <col min="7" max="7" width="18" customWidth="1"/>
  </cols>
  <sheetData>
    <row r="1" spans="1:7" ht="16.5" x14ac:dyDescent="0.25">
      <c r="A1" s="56" t="s">
        <v>215</v>
      </c>
    </row>
    <row r="2" spans="1:7" x14ac:dyDescent="0.25">
      <c r="A2" s="17" t="str">
        <f>Parametros!B4</f>
        <v>Plásticos Ejemplo, S.A. de C.V.</v>
      </c>
    </row>
    <row r="3" spans="1:7" x14ac:dyDescent="0.25">
      <c r="A3" s="57" t="str">
        <f>"RFC: "&amp;Parametros!B5&amp;"   |   Programa IMMEX: "&amp;Parametros!B6</f>
        <v>RFC: PEJ210101AB1   |   Programa IMMEX: 0000-2024</v>
      </c>
    </row>
    <row r="4" spans="1:7" x14ac:dyDescent="0.25">
      <c r="A4" s="17" t="s">
        <v>188</v>
      </c>
      <c r="B4" s="58">
        <f>Parametros!$B$8</f>
        <v>46315</v>
      </c>
    </row>
    <row r="6" spans="1:7" x14ac:dyDescent="0.25">
      <c r="A6" s="59" t="s">
        <v>216</v>
      </c>
      <c r="B6" s="60"/>
      <c r="C6" s="60"/>
      <c r="D6" s="60"/>
      <c r="E6" s="60"/>
      <c r="F6" s="60"/>
      <c r="G6" s="60"/>
    </row>
    <row r="7" spans="1:7" ht="31.5" customHeight="1" x14ac:dyDescent="0.25">
      <c r="A7" s="4" t="s">
        <v>133</v>
      </c>
      <c r="B7" s="4" t="s">
        <v>90</v>
      </c>
      <c r="C7" s="4" t="s">
        <v>134</v>
      </c>
      <c r="D7" s="4" t="s">
        <v>136</v>
      </c>
      <c r="E7" s="4" t="s">
        <v>97</v>
      </c>
      <c r="F7" s="4" t="s">
        <v>175</v>
      </c>
    </row>
    <row r="8" spans="1:7" x14ac:dyDescent="0.25">
      <c r="A8" s="25" t="str">
        <f>IF(Entradas!A5="","",Entradas!A5)</f>
        <v>240-3210-6000101</v>
      </c>
      <c r="B8" s="31" t="str">
        <f>IF(Entradas!A5="","",Entradas!B5)</f>
        <v>IN</v>
      </c>
      <c r="C8" s="29">
        <f>IF(Entradas!A5="","",Entradas!C5)</f>
        <v>45806</v>
      </c>
      <c r="D8" s="25" t="str">
        <f>IF(Entradas!A5="","",Entradas!F5)</f>
        <v>3902.10.01</v>
      </c>
      <c r="E8" s="25" t="str">
        <f>IF(Entradas!A5="","",Entradas!D5)</f>
        <v>MP-001</v>
      </c>
      <c r="F8" s="28">
        <f>IF(Entradas!A5="","",Entradas!G5)</f>
        <v>24500</v>
      </c>
    </row>
    <row r="9" spans="1:7" x14ac:dyDescent="0.25">
      <c r="A9" s="25" t="str">
        <f>IF(Entradas!A6="","",Entradas!A6)</f>
        <v>240-3210-6000140</v>
      </c>
      <c r="B9" s="31" t="str">
        <f>IF(Entradas!A6="","",Entradas!B6)</f>
        <v>IN</v>
      </c>
      <c r="C9" s="29">
        <f>IF(Entradas!A6="","",Entradas!C6)</f>
        <v>45846</v>
      </c>
      <c r="D9" s="25" t="str">
        <f>IF(Entradas!A6="","",Entradas!F6)</f>
        <v>3902.10.01</v>
      </c>
      <c r="E9" s="25" t="str">
        <f>IF(Entradas!A6="","",Entradas!D6)</f>
        <v>MP-001</v>
      </c>
      <c r="F9" s="28">
        <f>IF(Entradas!A6="","",Entradas!G6)</f>
        <v>15000</v>
      </c>
    </row>
    <row r="10" spans="1:7" x14ac:dyDescent="0.25">
      <c r="A10" s="25" t="str">
        <f>IF(Entradas!A7="","",Entradas!A7)</f>
        <v>240-3210-6000377</v>
      </c>
      <c r="B10" s="31" t="str">
        <f>IF(Entradas!A7="","",Entradas!B7)</f>
        <v>IN</v>
      </c>
      <c r="C10" s="29">
        <f>IF(Entradas!A7="","",Entradas!C7)</f>
        <v>46091</v>
      </c>
      <c r="D10" s="25" t="str">
        <f>IF(Entradas!A7="","",Entradas!F7)</f>
        <v>3902.10.01</v>
      </c>
      <c r="E10" s="25" t="str">
        <f>IF(Entradas!A7="","",Entradas!D7)</f>
        <v>MP-001</v>
      </c>
      <c r="F10" s="28">
        <f>IF(Entradas!A7="","",Entradas!G7)</f>
        <v>10000</v>
      </c>
    </row>
    <row r="11" spans="1:7" x14ac:dyDescent="0.25">
      <c r="A11" s="25" t="str">
        <f>IF(Entradas!A8="","",Entradas!A8)</f>
        <v>240-3210-6000590</v>
      </c>
      <c r="B11" s="31" t="str">
        <f>IF(Entradas!A8="","",Entradas!B8)</f>
        <v>IN</v>
      </c>
      <c r="C11" s="29">
        <f>IF(Entradas!A8="","",Entradas!C8)</f>
        <v>46254</v>
      </c>
      <c r="D11" s="25" t="str">
        <f>IF(Entradas!A8="","",Entradas!F8)</f>
        <v>3902.10.01</v>
      </c>
      <c r="E11" s="25" t="str">
        <f>IF(Entradas!A8="","",Entradas!D8)</f>
        <v>MP-001</v>
      </c>
      <c r="F11" s="28">
        <f>IF(Entradas!A8="","",Entradas!G8)</f>
        <v>12000</v>
      </c>
    </row>
    <row r="12" spans="1:7" x14ac:dyDescent="0.25">
      <c r="A12" s="25" t="str">
        <f>IF(Entradas!A9="","",Entradas!A9)</f>
        <v>240-3210-6000088</v>
      </c>
      <c r="B12" s="31" t="str">
        <f>IF(Entradas!A9="","",Entradas!B9)</f>
        <v>IN</v>
      </c>
      <c r="C12" s="29">
        <f>IF(Entradas!A9="","",Entradas!C9)</f>
        <v>45782</v>
      </c>
      <c r="D12" s="25" t="str">
        <f>IF(Entradas!A9="","",Entradas!F9)</f>
        <v>3903.30.01</v>
      </c>
      <c r="E12" s="25" t="str">
        <f>IF(Entradas!A9="","",Entradas!D9)</f>
        <v>MP-002</v>
      </c>
      <c r="F12" s="28">
        <f>IF(Entradas!A9="","",Entradas!G9)</f>
        <v>12500</v>
      </c>
    </row>
    <row r="13" spans="1:7" x14ac:dyDescent="0.25">
      <c r="A13" s="25" t="str">
        <f>IF(Entradas!A10="","",Entradas!A10)</f>
        <v>240-3210-6000301</v>
      </c>
      <c r="B13" s="31" t="str">
        <f>IF(Entradas!A10="","",Entradas!B10)</f>
        <v>IN</v>
      </c>
      <c r="C13" s="29">
        <f>IF(Entradas!A10="","",Entradas!C10)</f>
        <v>45993</v>
      </c>
      <c r="D13" s="25" t="str">
        <f>IF(Entradas!A10="","",Entradas!F10)</f>
        <v>3903.30.01</v>
      </c>
      <c r="E13" s="25" t="str">
        <f>IF(Entradas!A10="","",Entradas!D10)</f>
        <v>MP-002</v>
      </c>
      <c r="F13" s="28">
        <f>IF(Entradas!A10="","",Entradas!G10)</f>
        <v>9000</v>
      </c>
    </row>
    <row r="14" spans="1:7" x14ac:dyDescent="0.25">
      <c r="A14" s="25" t="str">
        <f>IF(Entradas!A11="","",Entradas!A11)</f>
        <v>240-3210-6000544</v>
      </c>
      <c r="B14" s="31" t="str">
        <f>IF(Entradas!A11="","",Entradas!B11)</f>
        <v>IN</v>
      </c>
      <c r="C14" s="29">
        <f>IF(Entradas!A11="","",Entradas!C11)</f>
        <v>46217</v>
      </c>
      <c r="D14" s="25" t="str">
        <f>IF(Entradas!A11="","",Entradas!F11)</f>
        <v>3903.30.01</v>
      </c>
      <c r="E14" s="25" t="str">
        <f>IF(Entradas!A11="","",Entradas!D11)</f>
        <v>MP-002</v>
      </c>
      <c r="F14" s="28">
        <f>IF(Entradas!A11="","",Entradas!G11)</f>
        <v>8000</v>
      </c>
    </row>
    <row r="15" spans="1:7" x14ac:dyDescent="0.25">
      <c r="A15" s="25" t="str">
        <f>IF(Entradas!A12="","",Entradas!A12)</f>
        <v>240-3210-6000212</v>
      </c>
      <c r="B15" s="31" t="str">
        <f>IF(Entradas!A12="","",Entradas!B12)</f>
        <v>IN</v>
      </c>
      <c r="C15" s="29">
        <f>IF(Entradas!A12="","",Entradas!C12)</f>
        <v>45910</v>
      </c>
      <c r="D15" s="25" t="str">
        <f>IF(Entradas!A12="","",Entradas!F12)</f>
        <v>3206.49.99</v>
      </c>
      <c r="E15" s="25" t="str">
        <f>IF(Entradas!A12="","",Entradas!D12)</f>
        <v>MP-003</v>
      </c>
      <c r="F15" s="28">
        <f>IF(Entradas!A12="","",Entradas!G12)</f>
        <v>900</v>
      </c>
    </row>
    <row r="16" spans="1:7" x14ac:dyDescent="0.25">
      <c r="A16" s="25" t="str">
        <f>IF(Entradas!A13="","",Entradas!A13)</f>
        <v>240-3210-6000350</v>
      </c>
      <c r="B16" s="31" t="str">
        <f>IF(Entradas!A13="","",Entradas!B13)</f>
        <v>IN</v>
      </c>
      <c r="C16" s="29">
        <f>IF(Entradas!A13="","",Entradas!C13)</f>
        <v>46042</v>
      </c>
      <c r="D16" s="25" t="str">
        <f>IF(Entradas!A13="","",Entradas!F13)</f>
        <v>3206.49.99</v>
      </c>
      <c r="E16" s="25" t="str">
        <f>IF(Entradas!A13="","",Entradas!D13)</f>
        <v>MP-003</v>
      </c>
      <c r="F16" s="28">
        <f>IF(Entradas!A13="","",Entradas!G13)</f>
        <v>1200</v>
      </c>
    </row>
    <row r="17" spans="1:7" x14ac:dyDescent="0.25">
      <c r="A17" s="25" t="str">
        <f>IF(Entradas!A14="","",Entradas!A14)</f>
        <v>240-3210-6000571</v>
      </c>
      <c r="B17" s="31" t="str">
        <f>IF(Entradas!A14="","",Entradas!B14)</f>
        <v>IN</v>
      </c>
      <c r="C17" s="29">
        <f>IF(Entradas!A14="","",Entradas!C14)</f>
        <v>46266</v>
      </c>
      <c r="D17" s="25" t="str">
        <f>IF(Entradas!A14="","",Entradas!F14)</f>
        <v>3206.49.99</v>
      </c>
      <c r="E17" s="25" t="str">
        <f>IF(Entradas!A14="","",Entradas!D14)</f>
        <v>MP-003</v>
      </c>
      <c r="F17" s="28">
        <f>IF(Entradas!A14="","",Entradas!G14)</f>
        <v>800</v>
      </c>
    </row>
    <row r="18" spans="1:7" x14ac:dyDescent="0.25">
      <c r="A18" s="25" t="str">
        <f>IF(Entradas!A15="","",Entradas!A15)</f>
        <v/>
      </c>
      <c r="B18" s="31" t="str">
        <f>IF(Entradas!A15="","",Entradas!B15)</f>
        <v/>
      </c>
      <c r="C18" s="29" t="str">
        <f>IF(Entradas!A15="","",Entradas!C15)</f>
        <v/>
      </c>
      <c r="D18" s="25" t="str">
        <f>IF(Entradas!A15="","",Entradas!F15)</f>
        <v/>
      </c>
      <c r="E18" s="25" t="str">
        <f>IF(Entradas!A15="","",Entradas!D15)</f>
        <v/>
      </c>
      <c r="F18" s="28" t="str">
        <f>IF(Entradas!A15="","",Entradas!G15)</f>
        <v/>
      </c>
    </row>
    <row r="19" spans="1:7" x14ac:dyDescent="0.25">
      <c r="A19" s="25" t="str">
        <f>IF(Entradas!A16="","",Entradas!A16)</f>
        <v/>
      </c>
      <c r="B19" s="31" t="str">
        <f>IF(Entradas!A16="","",Entradas!B16)</f>
        <v/>
      </c>
      <c r="C19" s="29" t="str">
        <f>IF(Entradas!A16="","",Entradas!C16)</f>
        <v/>
      </c>
      <c r="D19" s="25" t="str">
        <f>IF(Entradas!A16="","",Entradas!F16)</f>
        <v/>
      </c>
      <c r="E19" s="25" t="str">
        <f>IF(Entradas!A16="","",Entradas!D16)</f>
        <v/>
      </c>
      <c r="F19" s="28" t="str">
        <f>IF(Entradas!A16="","",Entradas!G16)</f>
        <v/>
      </c>
    </row>
    <row r="20" spans="1:7" x14ac:dyDescent="0.25">
      <c r="A20" s="51" t="s">
        <v>204</v>
      </c>
      <c r="F20" s="53">
        <f>SUM(F8:F19)</f>
        <v>93900</v>
      </c>
    </row>
    <row r="22" spans="1:7" x14ac:dyDescent="0.25">
      <c r="A22" s="59" t="s">
        <v>217</v>
      </c>
      <c r="B22" s="60"/>
      <c r="C22" s="60"/>
      <c r="D22" s="60"/>
      <c r="E22" s="60"/>
      <c r="F22" s="60"/>
      <c r="G22" s="60"/>
    </row>
    <row r="23" spans="1:7" ht="31.5" customHeight="1" x14ac:dyDescent="0.25">
      <c r="A23" s="4" t="s">
        <v>133</v>
      </c>
      <c r="B23" s="4" t="s">
        <v>218</v>
      </c>
      <c r="C23" s="4" t="s">
        <v>90</v>
      </c>
      <c r="D23" s="4" t="s">
        <v>97</v>
      </c>
      <c r="E23" s="4" t="s">
        <v>53</v>
      </c>
      <c r="F23" s="4" t="s">
        <v>175</v>
      </c>
    </row>
    <row r="24" spans="1:7" x14ac:dyDescent="0.25">
      <c r="A24" s="25" t="str">
        <f>IF(Salidas!A5="","",Salidas!A5)</f>
        <v>240-3210-6000412</v>
      </c>
      <c r="B24" s="29">
        <f>IF(Salidas!A5="","",Salidas!C5)</f>
        <v>46293</v>
      </c>
      <c r="C24" s="31" t="str">
        <f>IF(Salidas!A5="","",Salidas!B5)</f>
        <v>RT</v>
      </c>
      <c r="D24" s="25" t="str">
        <f>IF(Salidas!A5="","",Salidas!D5)</f>
        <v>MP-001</v>
      </c>
      <c r="E24" s="25" t="str">
        <f>IF(Salidas!A5="","",Salidas!E5)</f>
        <v>Retorno</v>
      </c>
      <c r="F24" s="28">
        <f>IF(Salidas!A5="","",Salidas!F5)</f>
        <v>500</v>
      </c>
    </row>
    <row r="25" spans="1:7" x14ac:dyDescent="0.25">
      <c r="A25" s="25" t="str">
        <f>IF(Salidas!A6="","",Salidas!A6)</f>
        <v>240-3210-6000433</v>
      </c>
      <c r="B25" s="29">
        <f>IF(Salidas!A6="","",Salidas!C6)</f>
        <v>46295</v>
      </c>
      <c r="C25" s="31" t="str">
        <f>IF(Salidas!A6="","",Salidas!B6)</f>
        <v>DE</v>
      </c>
      <c r="D25" s="25" t="str">
        <f>IF(Salidas!A6="","",Salidas!D6)</f>
        <v>MP-002</v>
      </c>
      <c r="E25" s="25" t="str">
        <f>IF(Salidas!A6="","",Salidas!E6)</f>
        <v>Destrucción</v>
      </c>
      <c r="F25" s="28">
        <f>IF(Salidas!A6="","",Salidas!F6)</f>
        <v>150</v>
      </c>
    </row>
    <row r="26" spans="1:7" x14ac:dyDescent="0.25">
      <c r="A26" s="25" t="str">
        <f>IF(Salidas!A7="","",Salidas!A7)</f>
        <v>240-3210-6000458</v>
      </c>
      <c r="B26" s="29">
        <f>IF(Salidas!A7="","",Salidas!C7)</f>
        <v>46300</v>
      </c>
      <c r="C26" s="31" t="str">
        <f>IF(Salidas!A7="","",Salidas!B7)</f>
        <v>RT</v>
      </c>
      <c r="D26" s="25" t="str">
        <f>IF(Salidas!A7="","",Salidas!D7)</f>
        <v>MP-003</v>
      </c>
      <c r="E26" s="25" t="str">
        <f>IF(Salidas!A7="","",Salidas!E7)</f>
        <v>Retorno</v>
      </c>
      <c r="F26" s="28">
        <f>IF(Salidas!A7="","",Salidas!F7)</f>
        <v>2500</v>
      </c>
    </row>
    <row r="27" spans="1:7" x14ac:dyDescent="0.25">
      <c r="A27" s="25" t="str">
        <f>IF(Salidas!A8="","",Salidas!A8)</f>
        <v/>
      </c>
      <c r="B27" s="29" t="str">
        <f>IF(Salidas!A8="","",Salidas!C8)</f>
        <v/>
      </c>
      <c r="C27" s="31" t="str">
        <f>IF(Salidas!A8="","",Salidas!B8)</f>
        <v/>
      </c>
      <c r="D27" s="25" t="str">
        <f>IF(Salidas!A8="","",Salidas!D8)</f>
        <v/>
      </c>
      <c r="E27" s="25" t="str">
        <f>IF(Salidas!A8="","",Salidas!E8)</f>
        <v/>
      </c>
      <c r="F27" s="28" t="str">
        <f>IF(Salidas!A8="","",Salidas!F8)</f>
        <v/>
      </c>
    </row>
    <row r="28" spans="1:7" x14ac:dyDescent="0.25">
      <c r="A28" s="25" t="str">
        <f>IF(Salidas!A9="","",Salidas!A9)</f>
        <v/>
      </c>
      <c r="B28" s="29" t="str">
        <f>IF(Salidas!A9="","",Salidas!C9)</f>
        <v/>
      </c>
      <c r="C28" s="31" t="str">
        <f>IF(Salidas!A9="","",Salidas!B9)</f>
        <v/>
      </c>
      <c r="D28" s="25" t="str">
        <f>IF(Salidas!A9="","",Salidas!D9)</f>
        <v/>
      </c>
      <c r="E28" s="25" t="str">
        <f>IF(Salidas!A9="","",Salidas!E9)</f>
        <v/>
      </c>
      <c r="F28" s="28" t="str">
        <f>IF(Salidas!A9="","",Salidas!F9)</f>
        <v/>
      </c>
    </row>
    <row r="29" spans="1:7" x14ac:dyDescent="0.25">
      <c r="A29" s="25" t="str">
        <f>IF(Salidas!A10="","",Salidas!A10)</f>
        <v/>
      </c>
      <c r="B29" s="29" t="str">
        <f>IF(Salidas!A10="","",Salidas!C10)</f>
        <v/>
      </c>
      <c r="C29" s="31" t="str">
        <f>IF(Salidas!A10="","",Salidas!B10)</f>
        <v/>
      </c>
      <c r="D29" s="25" t="str">
        <f>IF(Salidas!A10="","",Salidas!D10)</f>
        <v/>
      </c>
      <c r="E29" s="25" t="str">
        <f>IF(Salidas!A10="","",Salidas!E10)</f>
        <v/>
      </c>
      <c r="F29" s="28" t="str">
        <f>IF(Salidas!A10="","",Salidas!F10)</f>
        <v/>
      </c>
    </row>
    <row r="30" spans="1:7" x14ac:dyDescent="0.25">
      <c r="A30" s="51" t="s">
        <v>204</v>
      </c>
      <c r="F30" s="53">
        <f>SUM(F24:F29)</f>
        <v>3150</v>
      </c>
    </row>
    <row r="32" spans="1:7" x14ac:dyDescent="0.25">
      <c r="A32" s="59" t="s">
        <v>219</v>
      </c>
      <c r="B32" s="60"/>
      <c r="C32" s="60"/>
      <c r="D32" s="60"/>
      <c r="E32" s="60"/>
      <c r="F32" s="60"/>
      <c r="G32" s="60"/>
    </row>
    <row r="33" spans="1:7" ht="31.5" customHeight="1" x14ac:dyDescent="0.25">
      <c r="A33" s="4" t="s">
        <v>92</v>
      </c>
      <c r="B33" s="4" t="s">
        <v>135</v>
      </c>
      <c r="C33" s="4" t="s">
        <v>206</v>
      </c>
      <c r="D33" s="4" t="s">
        <v>220</v>
      </c>
      <c r="E33" s="4" t="s">
        <v>140</v>
      </c>
    </row>
    <row r="34" spans="1:7" x14ac:dyDescent="0.25">
      <c r="A34" s="25" t="str">
        <f>Catalogos!C5</f>
        <v>3902.10.01</v>
      </c>
      <c r="B34" s="25" t="str">
        <f>Catalogos!B5</f>
        <v>Resina polipropileno copolímero</v>
      </c>
      <c r="C34" s="28">
        <f>SUMIFS(Entradas!$G$5:$G$40,Entradas!$F$5:$F$40,A34)</f>
        <v>61500</v>
      </c>
      <c r="D34" s="28">
        <f>SUMIFS(Entradas!$I$5:$I$40,Entradas!$F$5:$F$40,A34)</f>
        <v>23942.720000000001</v>
      </c>
      <c r="E34" s="28">
        <f>C34-D34</f>
        <v>37557.279999999999</v>
      </c>
    </row>
    <row r="35" spans="1:7" x14ac:dyDescent="0.25">
      <c r="A35" s="25" t="str">
        <f>Catalogos!C6</f>
        <v>3903.30.01</v>
      </c>
      <c r="B35" s="25" t="str">
        <f>Catalogos!B6</f>
        <v>Resina ABS</v>
      </c>
      <c r="C35" s="28">
        <f>SUMIFS(Entradas!$G$5:$G$40,Entradas!$F$5:$F$40,A35)</f>
        <v>29500</v>
      </c>
      <c r="D35" s="28">
        <f>SUMIFS(Entradas!$I$5:$I$40,Entradas!$F$5:$F$40,A35)</f>
        <v>11672.6</v>
      </c>
      <c r="E35" s="28">
        <f>C35-D35</f>
        <v>17827.400000000001</v>
      </c>
    </row>
    <row r="36" spans="1:7" x14ac:dyDescent="0.25">
      <c r="A36" s="25" t="str">
        <f>Catalogos!C7</f>
        <v>3206.49.99</v>
      </c>
      <c r="B36" s="25" t="str">
        <f>Catalogos!B7</f>
        <v>Masterbatch colorante</v>
      </c>
      <c r="C36" s="28">
        <f>SUMIFS(Entradas!$G$5:$G$40,Entradas!$F$5:$F$40,A36)</f>
        <v>2900</v>
      </c>
      <c r="D36" s="28">
        <f>SUMIFS(Entradas!$I$5:$I$40,Entradas!$F$5:$F$40,A36)</f>
        <v>2900</v>
      </c>
      <c r="E36" s="28">
        <f>C36-D36</f>
        <v>0</v>
      </c>
    </row>
    <row r="37" spans="1:7" x14ac:dyDescent="0.25">
      <c r="A37" s="51" t="s">
        <v>204</v>
      </c>
      <c r="C37" s="53">
        <f>SUM(C34:C36)</f>
        <v>93900</v>
      </c>
      <c r="D37" s="53">
        <f>SUM(D34:D36)</f>
        <v>38515.32</v>
      </c>
      <c r="E37" s="53">
        <f>SUM(E34:E36)</f>
        <v>55384.68</v>
      </c>
    </row>
    <row r="39" spans="1:7" x14ac:dyDescent="0.25">
      <c r="A39" s="59" t="s">
        <v>221</v>
      </c>
      <c r="B39" s="60"/>
      <c r="C39" s="60"/>
      <c r="D39" s="60"/>
      <c r="E39" s="60"/>
      <c r="F39" s="60"/>
      <c r="G39" s="60"/>
    </row>
    <row r="40" spans="1:7" ht="31.5" customHeight="1" x14ac:dyDescent="0.25">
      <c r="A40" s="4" t="s">
        <v>158</v>
      </c>
      <c r="B40" s="4" t="s">
        <v>96</v>
      </c>
      <c r="C40" s="4" t="s">
        <v>97</v>
      </c>
      <c r="D40" s="4" t="s">
        <v>165</v>
      </c>
      <c r="E40" s="4" t="s">
        <v>167</v>
      </c>
      <c r="F40" s="4" t="s">
        <v>169</v>
      </c>
      <c r="G40" s="4" t="s">
        <v>170</v>
      </c>
    </row>
    <row r="41" spans="1:7" x14ac:dyDescent="0.25">
      <c r="A41" s="31" t="str">
        <f>IF(Consumo!A14="","",Consumo!A14)</f>
        <v>2026-08</v>
      </c>
      <c r="B41" s="25" t="str">
        <f>IF(Consumo!A14="","",Consumo!B14)</f>
        <v>PT-001</v>
      </c>
      <c r="C41" s="25" t="str">
        <f>IF(Consumo!A14="","",Consumo!C14)</f>
        <v>MP-001</v>
      </c>
      <c r="D41" s="35">
        <f>IF(Consumo!A14="","",Consumo!D14)</f>
        <v>400000</v>
      </c>
      <c r="E41" s="28">
        <f>IF(Consumo!A14="","",Consumo!F14)</f>
        <v>11200</v>
      </c>
      <c r="F41" s="28">
        <f>IF(Consumo!A14="","",Consumo!H14)</f>
        <v>224</v>
      </c>
      <c r="G41" s="28">
        <f>IF(Consumo!A14="","",Consumo!I14)</f>
        <v>11424</v>
      </c>
    </row>
    <row r="42" spans="1:7" x14ac:dyDescent="0.25">
      <c r="A42" s="31" t="str">
        <f>IF(Consumo!A15="","",Consumo!A15)</f>
        <v>2026-08</v>
      </c>
      <c r="B42" s="25" t="str">
        <f>IF(Consumo!A15="","",Consumo!B15)</f>
        <v>PT-001</v>
      </c>
      <c r="C42" s="25" t="str">
        <f>IF(Consumo!A15="","",Consumo!C15)</f>
        <v>MP-003</v>
      </c>
      <c r="D42" s="35">
        <f>IF(Consumo!A15="","",Consumo!D15)</f>
        <v>400000</v>
      </c>
      <c r="E42" s="28">
        <f>IF(Consumo!A15="","",Consumo!F15)</f>
        <v>239.99999999999997</v>
      </c>
      <c r="F42" s="28">
        <f>IF(Consumo!A15="","",Consumo!H15)</f>
        <v>4.8</v>
      </c>
      <c r="G42" s="28">
        <f>IF(Consumo!A15="","",Consumo!I15)</f>
        <v>244.79999999999998</v>
      </c>
    </row>
    <row r="43" spans="1:7" x14ac:dyDescent="0.25">
      <c r="A43" s="31" t="str">
        <f>IF(Consumo!A16="","",Consumo!A16)</f>
        <v>2026-08</v>
      </c>
      <c r="B43" s="25" t="str">
        <f>IF(Consumo!A16="","",Consumo!B16)</f>
        <v>PT-002</v>
      </c>
      <c r="C43" s="25" t="str">
        <f>IF(Consumo!A16="","",Consumo!C16)</f>
        <v>MP-002</v>
      </c>
      <c r="D43" s="35">
        <f>IF(Consumo!A16="","",Consumo!D16)</f>
        <v>60000</v>
      </c>
      <c r="E43" s="28">
        <f>IF(Consumo!A16="","",Consumo!F16)</f>
        <v>5100</v>
      </c>
      <c r="F43" s="28">
        <f>IF(Consumo!A16="","",Consumo!H16)</f>
        <v>127.5</v>
      </c>
      <c r="G43" s="28">
        <f>IF(Consumo!A16="","",Consumo!I16)</f>
        <v>5227.5</v>
      </c>
    </row>
    <row r="44" spans="1:7" x14ac:dyDescent="0.25">
      <c r="A44" s="31" t="str">
        <f>IF(Consumo!A17="","",Consumo!A17)</f>
        <v>2026-08</v>
      </c>
      <c r="B44" s="25" t="str">
        <f>IF(Consumo!A17="","",Consumo!B17)</f>
        <v>PT-002</v>
      </c>
      <c r="C44" s="25" t="str">
        <f>IF(Consumo!A17="","",Consumo!C17)</f>
        <v>MP-003</v>
      </c>
      <c r="D44" s="35">
        <f>IF(Consumo!A17="","",Consumo!D17)</f>
        <v>60000</v>
      </c>
      <c r="E44" s="28">
        <f>IF(Consumo!A17="","",Consumo!F17)</f>
        <v>102</v>
      </c>
      <c r="F44" s="28">
        <f>IF(Consumo!A17="","",Consumo!H17)</f>
        <v>2.5500000000000003</v>
      </c>
      <c r="G44" s="28">
        <f>IF(Consumo!A17="","",Consumo!I17)</f>
        <v>104.55</v>
      </c>
    </row>
    <row r="45" spans="1:7" x14ac:dyDescent="0.25">
      <c r="A45" s="31" t="str">
        <f>IF(Consumo!A18="","",Consumo!A18)</f>
        <v>2026-09</v>
      </c>
      <c r="B45" s="25" t="str">
        <f>IF(Consumo!A18="","",Consumo!B18)</f>
        <v>PT-001</v>
      </c>
      <c r="C45" s="25" t="str">
        <f>IF(Consumo!A18="","",Consumo!C18)</f>
        <v>MP-001</v>
      </c>
      <c r="D45" s="35">
        <f>IF(Consumo!A18="","",Consumo!D18)</f>
        <v>420000</v>
      </c>
      <c r="E45" s="28">
        <f>IF(Consumo!A18="","",Consumo!F18)</f>
        <v>11760</v>
      </c>
      <c r="F45" s="28">
        <f>IF(Consumo!A18="","",Consumo!H18)</f>
        <v>258.71999999999997</v>
      </c>
      <c r="G45" s="28">
        <f>IF(Consumo!A18="","",Consumo!I18)</f>
        <v>12018.72</v>
      </c>
    </row>
    <row r="46" spans="1:7" x14ac:dyDescent="0.25">
      <c r="A46" s="31" t="str">
        <f>IF(Consumo!A19="","",Consumo!A19)</f>
        <v>2026-09</v>
      </c>
      <c r="B46" s="25" t="str">
        <f>IF(Consumo!A19="","",Consumo!B19)</f>
        <v>PT-001</v>
      </c>
      <c r="C46" s="25" t="str">
        <f>IF(Consumo!A19="","",Consumo!C19)</f>
        <v>MP-003</v>
      </c>
      <c r="D46" s="35">
        <f>IF(Consumo!A19="","",Consumo!D19)</f>
        <v>420000</v>
      </c>
      <c r="E46" s="28">
        <f>IF(Consumo!A19="","",Consumo!F19)</f>
        <v>251.99999999999997</v>
      </c>
      <c r="F46" s="28">
        <f>IF(Consumo!A19="","",Consumo!H19)</f>
        <v>5.5439999999999987</v>
      </c>
      <c r="G46" s="28">
        <f>IF(Consumo!A19="","",Consumo!I19)</f>
        <v>257.54399999999998</v>
      </c>
    </row>
    <row r="47" spans="1:7" x14ac:dyDescent="0.25">
      <c r="A47" s="31" t="str">
        <f>IF(Consumo!A20="","",Consumo!A20)</f>
        <v>2026-09</v>
      </c>
      <c r="B47" s="25" t="str">
        <f>IF(Consumo!A20="","",Consumo!B20)</f>
        <v>PT-002</v>
      </c>
      <c r="C47" s="25" t="str">
        <f>IF(Consumo!A20="","",Consumo!C20)</f>
        <v>MP-002</v>
      </c>
      <c r="D47" s="35">
        <f>IF(Consumo!A20="","",Consumo!D20)</f>
        <v>70000</v>
      </c>
      <c r="E47" s="28">
        <f>IF(Consumo!A20="","",Consumo!F20)</f>
        <v>5950</v>
      </c>
      <c r="F47" s="28">
        <f>IF(Consumo!A20="","",Consumo!H20)</f>
        <v>345.1</v>
      </c>
      <c r="G47" s="28">
        <f>IF(Consumo!A20="","",Consumo!I20)</f>
        <v>6295.1</v>
      </c>
    </row>
    <row r="48" spans="1:7" x14ac:dyDescent="0.25">
      <c r="A48" s="31" t="str">
        <f>IF(Consumo!A21="","",Consumo!A21)</f>
        <v>2026-09</v>
      </c>
      <c r="B48" s="25" t="str">
        <f>IF(Consumo!A21="","",Consumo!B21)</f>
        <v>PT-002</v>
      </c>
      <c r="C48" s="25" t="str">
        <f>IF(Consumo!A21="","",Consumo!C21)</f>
        <v>MP-003</v>
      </c>
      <c r="D48" s="35">
        <f>IF(Consumo!A21="","",Consumo!D21)</f>
        <v>70000</v>
      </c>
      <c r="E48" s="28">
        <f>IF(Consumo!A21="","",Consumo!F21)</f>
        <v>119</v>
      </c>
      <c r="F48" s="28">
        <f>IF(Consumo!A21="","",Consumo!H21)</f>
        <v>6.9020000000000001</v>
      </c>
      <c r="G48" s="28">
        <f>IF(Consumo!A21="","",Consumo!I21)</f>
        <v>125.902</v>
      </c>
    </row>
    <row r="49" spans="1:7" x14ac:dyDescent="0.25">
      <c r="A49" s="51" t="s">
        <v>204</v>
      </c>
      <c r="E49" s="53">
        <f>SUM(E41:E48)</f>
        <v>34723</v>
      </c>
      <c r="F49" s="53">
        <f>SUM(F41:F48)</f>
        <v>975.11599999999999</v>
      </c>
      <c r="G49" s="53">
        <f>SUM(G41:G48)</f>
        <v>35698.116000000002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showGridLines="0" zoomScaleNormal="100" workbookViewId="0"/>
  </sheetViews>
  <sheetFormatPr baseColWidth="10" defaultColWidth="8.7109375" defaultRowHeight="15" x14ac:dyDescent="0.25"/>
  <cols>
    <col min="1" max="1" width="18" customWidth="1"/>
    <col min="2" max="2" width="30" customWidth="1"/>
    <col min="3" max="3" width="14" customWidth="1"/>
    <col min="4" max="4" width="100" customWidth="1"/>
  </cols>
  <sheetData>
    <row r="1" spans="1:4" ht="16.5" x14ac:dyDescent="0.25">
      <c r="A1" s="56" t="s">
        <v>222</v>
      </c>
    </row>
    <row r="2" spans="1:4" x14ac:dyDescent="0.25">
      <c r="A2" s="8" t="s">
        <v>223</v>
      </c>
    </row>
    <row r="4" spans="1:4" ht="31.5" customHeight="1" x14ac:dyDescent="0.25">
      <c r="A4" s="4" t="s">
        <v>224</v>
      </c>
      <c r="B4" s="4" t="s">
        <v>225</v>
      </c>
      <c r="C4" s="4" t="s">
        <v>53</v>
      </c>
      <c r="D4" s="4" t="s">
        <v>226</v>
      </c>
    </row>
    <row r="5" spans="1:4" ht="24.75" customHeight="1" x14ac:dyDescent="0.25">
      <c r="A5" s="5" t="s">
        <v>227</v>
      </c>
      <c r="B5" s="6" t="s">
        <v>228</v>
      </c>
      <c r="C5" s="6" t="s">
        <v>229</v>
      </c>
      <c r="D5" s="6" t="s">
        <v>230</v>
      </c>
    </row>
    <row r="6" spans="1:4" ht="24.75" customHeight="1" x14ac:dyDescent="0.25">
      <c r="A6" s="5" t="s">
        <v>231</v>
      </c>
      <c r="B6" s="6" t="s">
        <v>232</v>
      </c>
      <c r="C6" s="6" t="s">
        <v>233</v>
      </c>
      <c r="D6" s="6" t="s">
        <v>234</v>
      </c>
    </row>
    <row r="7" spans="1:4" ht="24.75" customHeight="1" x14ac:dyDescent="0.25">
      <c r="A7" s="5" t="s">
        <v>235</v>
      </c>
      <c r="B7" s="6" t="s">
        <v>236</v>
      </c>
      <c r="C7" s="6" t="s">
        <v>237</v>
      </c>
      <c r="D7" s="6" t="s">
        <v>238</v>
      </c>
    </row>
    <row r="8" spans="1:4" ht="37.5" customHeight="1" x14ac:dyDescent="0.25">
      <c r="A8" s="5" t="s">
        <v>239</v>
      </c>
      <c r="B8" s="6" t="s">
        <v>240</v>
      </c>
      <c r="C8" s="6" t="s">
        <v>38</v>
      </c>
      <c r="D8" s="6" t="s">
        <v>241</v>
      </c>
    </row>
    <row r="9" spans="1:4" ht="24.75" customHeight="1" x14ac:dyDescent="0.25">
      <c r="A9" s="5" t="s">
        <v>242</v>
      </c>
      <c r="B9" s="6" t="s">
        <v>243</v>
      </c>
      <c r="C9" s="6" t="s">
        <v>38</v>
      </c>
      <c r="D9" s="6" t="s">
        <v>244</v>
      </c>
    </row>
    <row r="10" spans="1:4" ht="37.5" customHeight="1" x14ac:dyDescent="0.25">
      <c r="A10" s="5" t="s">
        <v>245</v>
      </c>
      <c r="B10" s="6" t="s">
        <v>246</v>
      </c>
      <c r="C10" s="6" t="s">
        <v>38</v>
      </c>
      <c r="D10" s="6" t="s">
        <v>247</v>
      </c>
    </row>
    <row r="11" spans="1:4" ht="24.75" customHeight="1" x14ac:dyDescent="0.25">
      <c r="A11" s="5" t="s">
        <v>248</v>
      </c>
      <c r="B11" s="6" t="s">
        <v>249</v>
      </c>
      <c r="C11" s="6" t="s">
        <v>38</v>
      </c>
      <c r="D11" s="6" t="s">
        <v>250</v>
      </c>
    </row>
    <row r="12" spans="1:4" ht="15" customHeight="1" x14ac:dyDescent="0.25">
      <c r="A12" s="5" t="s">
        <v>251</v>
      </c>
      <c r="B12" s="6" t="s">
        <v>252</v>
      </c>
      <c r="C12" s="6" t="s">
        <v>38</v>
      </c>
      <c r="D12" s="6" t="s">
        <v>253</v>
      </c>
    </row>
    <row r="14" spans="1:4" x14ac:dyDescent="0.25">
      <c r="A14" s="45" t="s">
        <v>254</v>
      </c>
    </row>
    <row r="15" spans="1:4" x14ac:dyDescent="0.25">
      <c r="A15" s="8" t="s">
        <v>255</v>
      </c>
    </row>
    <row r="16" spans="1:4" x14ac:dyDescent="0.25">
      <c r="A16" s="8" t="s">
        <v>256</v>
      </c>
    </row>
    <row r="17" spans="1:4" x14ac:dyDescent="0.25">
      <c r="A17" s="8" t="s">
        <v>257</v>
      </c>
    </row>
    <row r="18" spans="1:4" x14ac:dyDescent="0.25">
      <c r="A18" s="8" t="s">
        <v>258</v>
      </c>
    </row>
    <row r="19" spans="1:4" x14ac:dyDescent="0.25">
      <c r="A19" s="8" t="s">
        <v>259</v>
      </c>
    </row>
    <row r="20" spans="1:4" x14ac:dyDescent="0.25">
      <c r="A20" s="8" t="s">
        <v>260</v>
      </c>
    </row>
    <row r="21" spans="1:4" x14ac:dyDescent="0.25">
      <c r="A21" s="8" t="s">
        <v>261</v>
      </c>
    </row>
    <row r="22" spans="1:4" x14ac:dyDescent="0.25">
      <c r="A22" s="8" t="s">
        <v>262</v>
      </c>
    </row>
    <row r="23" spans="1:4" x14ac:dyDescent="0.25">
      <c r="A23" s="8" t="s">
        <v>263</v>
      </c>
    </row>
    <row r="24" spans="1:4" x14ac:dyDescent="0.25">
      <c r="A24" s="8"/>
    </row>
    <row r="25" spans="1:4" x14ac:dyDescent="0.25">
      <c r="A25" s="8" t="s">
        <v>264</v>
      </c>
    </row>
    <row r="26" spans="1:4" x14ac:dyDescent="0.25">
      <c r="A26" s="8" t="s">
        <v>265</v>
      </c>
    </row>
    <row r="29" spans="1:4" x14ac:dyDescent="0.25">
      <c r="A29" s="45" t="s">
        <v>266</v>
      </c>
    </row>
    <row r="30" spans="1:4" ht="31.5" customHeight="1" x14ac:dyDescent="0.25">
      <c r="A30" s="4" t="s">
        <v>267</v>
      </c>
      <c r="B30" s="4" t="s">
        <v>268</v>
      </c>
      <c r="C30" s="4" t="s">
        <v>269</v>
      </c>
      <c r="D30" s="4" t="s">
        <v>270</v>
      </c>
    </row>
    <row r="31" spans="1:4" x14ac:dyDescent="0.25">
      <c r="A31" s="25" t="str">
        <f>Entradas!A5</f>
        <v>240-3210-6000101</v>
      </c>
      <c r="B31" s="26">
        <v>23942.720000000001</v>
      </c>
      <c r="C31" s="28">
        <f>Entradas!I5</f>
        <v>23942.720000000001</v>
      </c>
      <c r="D31" s="31" t="str">
        <f t="shared" ref="D31:D40" si="0">IF(ABS(B31-C31)&lt;0.01,"OK","REVISAR")</f>
        <v>OK</v>
      </c>
    </row>
    <row r="32" spans="1:4" x14ac:dyDescent="0.25">
      <c r="A32" s="25" t="str">
        <f>Entradas!A6</f>
        <v>240-3210-6000140</v>
      </c>
      <c r="B32" s="26">
        <v>0</v>
      </c>
      <c r="C32" s="28">
        <f>Entradas!I6</f>
        <v>0</v>
      </c>
      <c r="D32" s="31" t="str">
        <f t="shared" si="0"/>
        <v>OK</v>
      </c>
    </row>
    <row r="33" spans="1:4" x14ac:dyDescent="0.25">
      <c r="A33" s="25" t="str">
        <f>Entradas!A7</f>
        <v>240-3210-6000377</v>
      </c>
      <c r="B33" s="26">
        <v>0</v>
      </c>
      <c r="C33" s="28">
        <f>Entradas!I7</f>
        <v>0</v>
      </c>
      <c r="D33" s="31" t="str">
        <f t="shared" si="0"/>
        <v>OK</v>
      </c>
    </row>
    <row r="34" spans="1:4" x14ac:dyDescent="0.25">
      <c r="A34" s="25" t="str">
        <f>Entradas!A8</f>
        <v>240-3210-6000590</v>
      </c>
      <c r="B34" s="26">
        <v>0</v>
      </c>
      <c r="C34" s="28">
        <f>Entradas!I8</f>
        <v>0</v>
      </c>
      <c r="D34" s="31" t="str">
        <f t="shared" si="0"/>
        <v>OK</v>
      </c>
    </row>
    <row r="35" spans="1:4" x14ac:dyDescent="0.25">
      <c r="A35" s="25" t="str">
        <f>Entradas!A9</f>
        <v>240-3210-6000088</v>
      </c>
      <c r="B35" s="26">
        <v>11672.6</v>
      </c>
      <c r="C35" s="28">
        <f>Entradas!I9</f>
        <v>11672.6</v>
      </c>
      <c r="D35" s="31" t="str">
        <f t="shared" si="0"/>
        <v>OK</v>
      </c>
    </row>
    <row r="36" spans="1:4" x14ac:dyDescent="0.25">
      <c r="A36" s="25" t="str">
        <f>Entradas!A10</f>
        <v>240-3210-6000301</v>
      </c>
      <c r="B36" s="26">
        <v>0</v>
      </c>
      <c r="C36" s="28">
        <f>Entradas!I10</f>
        <v>0</v>
      </c>
      <c r="D36" s="31" t="str">
        <f t="shared" si="0"/>
        <v>OK</v>
      </c>
    </row>
    <row r="37" spans="1:4" x14ac:dyDescent="0.25">
      <c r="A37" s="25" t="str">
        <f>Entradas!A11</f>
        <v>240-3210-6000544</v>
      </c>
      <c r="B37" s="26">
        <v>0</v>
      </c>
      <c r="C37" s="28">
        <f>Entradas!I11</f>
        <v>0</v>
      </c>
      <c r="D37" s="31" t="str">
        <f t="shared" si="0"/>
        <v>OK</v>
      </c>
    </row>
    <row r="38" spans="1:4" x14ac:dyDescent="0.25">
      <c r="A38" s="25" t="str">
        <f>Entradas!A12</f>
        <v>240-3210-6000212</v>
      </c>
      <c r="B38" s="26">
        <v>900</v>
      </c>
      <c r="C38" s="28">
        <f>Entradas!I12</f>
        <v>900</v>
      </c>
      <c r="D38" s="31" t="str">
        <f t="shared" si="0"/>
        <v>OK</v>
      </c>
    </row>
    <row r="39" spans="1:4" x14ac:dyDescent="0.25">
      <c r="A39" s="25" t="str">
        <f>Entradas!A13</f>
        <v>240-3210-6000350</v>
      </c>
      <c r="B39" s="26">
        <v>1200</v>
      </c>
      <c r="C39" s="28">
        <f>Entradas!I13</f>
        <v>1200</v>
      </c>
      <c r="D39" s="31" t="str">
        <f t="shared" si="0"/>
        <v>OK</v>
      </c>
    </row>
    <row r="40" spans="1:4" x14ac:dyDescent="0.25">
      <c r="A40" s="25" t="str">
        <f>Entradas!A14</f>
        <v>240-3210-6000571</v>
      </c>
      <c r="B40" s="26">
        <v>800</v>
      </c>
      <c r="C40" s="28">
        <f>Entradas!I14</f>
        <v>800</v>
      </c>
      <c r="D40" s="31" t="str">
        <f t="shared" si="0"/>
        <v>OK</v>
      </c>
    </row>
    <row r="41" spans="1:4" x14ac:dyDescent="0.25">
      <c r="A41" s="21" t="s">
        <v>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LEEME</vt:lpstr>
      <vt:lpstr>Parametros</vt:lpstr>
      <vt:lpstr>Catalogos</vt:lpstr>
      <vt:lpstr>Entradas</vt:lpstr>
      <vt:lpstr>Consumo</vt:lpstr>
      <vt:lpstr>Salidas</vt:lpstr>
      <vt:lpstr>Tablero</vt:lpstr>
      <vt:lpstr>Reportes</vt:lpstr>
      <vt:lpstr>Modelo_Datos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Prodanovic Delgado</cp:lastModifiedBy>
  <cp:revision>0</cp:revision>
  <dcterms:created xsi:type="dcterms:W3CDTF">2026-10-21T02:59:48Z</dcterms:created>
  <dcterms:modified xsi:type="dcterms:W3CDTF">2026-10-21T03:02:08Z</dcterms:modified>
  <dc:language>en-US</dc:language>
</cp:coreProperties>
</file>